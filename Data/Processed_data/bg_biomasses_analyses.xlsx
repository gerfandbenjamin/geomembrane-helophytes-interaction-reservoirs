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Thèse Gerfand\4 - Rhizotrons hélophytes DEG\Article interaction racines - géomembrane\Soumission\IJGGE\Supplementary material\Data\Processed_data\"/>
    </mc:Choice>
  </mc:AlternateContent>
  <xr:revisionPtr revIDLastSave="0" documentId="13_ncr:1_{EC861A7F-25E1-474F-965A-A19ECC687125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5" i="1" l="1"/>
  <c r="R8" i="1"/>
  <c r="R11" i="1"/>
  <c r="R14" i="1"/>
  <c r="R17" i="1"/>
  <c r="R20" i="1"/>
  <c r="R23" i="1"/>
  <c r="R26" i="1"/>
  <c r="R29" i="1"/>
  <c r="R32" i="1"/>
  <c r="R35" i="1"/>
  <c r="R38" i="1"/>
  <c r="R41" i="1"/>
  <c r="R44" i="1"/>
  <c r="R2" i="1"/>
  <c r="Q29" i="1"/>
  <c r="Q5" i="1"/>
  <c r="Q2" i="1"/>
  <c r="L44" i="1"/>
  <c r="L41" i="1"/>
  <c r="L38" i="1"/>
  <c r="L35" i="1"/>
  <c r="L32" i="1"/>
  <c r="L29" i="1"/>
  <c r="L26" i="1"/>
  <c r="L23" i="1"/>
  <c r="L20" i="1"/>
  <c r="L17" i="1"/>
  <c r="L14" i="1"/>
  <c r="L11" i="1"/>
  <c r="L8" i="1"/>
  <c r="L5" i="1"/>
  <c r="L2" i="1"/>
  <c r="N2" i="1"/>
  <c r="P11" i="1"/>
  <c r="N3" i="1"/>
  <c r="N4" i="1"/>
  <c r="N5" i="1"/>
  <c r="N6" i="1"/>
  <c r="S5" i="1" s="1"/>
  <c r="N7" i="1"/>
  <c r="N8" i="1"/>
  <c r="N9" i="1"/>
  <c r="N10" i="1"/>
  <c r="N11" i="1"/>
  <c r="N12" i="1"/>
  <c r="N13" i="1"/>
  <c r="N14" i="1"/>
  <c r="N15" i="1"/>
  <c r="N16" i="1"/>
  <c r="N17" i="1"/>
  <c r="N18" i="1"/>
  <c r="S17" i="1" s="1"/>
  <c r="N19" i="1"/>
  <c r="N20" i="1"/>
  <c r="N21" i="1"/>
  <c r="Q20" i="1" s="1"/>
  <c r="N22" i="1"/>
  <c r="N23" i="1"/>
  <c r="N24" i="1"/>
  <c r="S23" i="1" s="1"/>
  <c r="N25" i="1"/>
  <c r="N26" i="1"/>
  <c r="N27" i="1"/>
  <c r="N28" i="1"/>
  <c r="Q26" i="1" s="1"/>
  <c r="N29" i="1"/>
  <c r="N30" i="1"/>
  <c r="S29" i="1" s="1"/>
  <c r="N31" i="1"/>
  <c r="N32" i="1"/>
  <c r="N33" i="1"/>
  <c r="N34" i="1"/>
  <c r="N35" i="1"/>
  <c r="N36" i="1"/>
  <c r="S35" i="1" s="1"/>
  <c r="N37" i="1"/>
  <c r="N38" i="1"/>
  <c r="N39" i="1"/>
  <c r="N40" i="1"/>
  <c r="N41" i="1"/>
  <c r="N42" i="1"/>
  <c r="S41" i="1" s="1"/>
  <c r="N43" i="1"/>
  <c r="N44" i="1"/>
  <c r="N45" i="1"/>
  <c r="Q44" i="1" s="1"/>
  <c r="N4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2" i="1"/>
  <c r="M46" i="1"/>
  <c r="M45" i="1"/>
  <c r="M44" i="1"/>
  <c r="O44" i="1" s="1"/>
  <c r="M43" i="1"/>
  <c r="M42" i="1"/>
  <c r="M41" i="1"/>
  <c r="M40" i="1"/>
  <c r="M39" i="1"/>
  <c r="M38" i="1"/>
  <c r="M37" i="1"/>
  <c r="M36" i="1"/>
  <c r="M35" i="1"/>
  <c r="M34" i="1"/>
  <c r="M33" i="1"/>
  <c r="M32" i="1"/>
  <c r="O32" i="1" s="1"/>
  <c r="M31" i="1"/>
  <c r="M30" i="1"/>
  <c r="O29" i="1" s="1"/>
  <c r="M29" i="1"/>
  <c r="M28" i="1"/>
  <c r="M27" i="1"/>
  <c r="M26" i="1"/>
  <c r="O26" i="1" s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O8" i="1" s="1"/>
  <c r="M7" i="1"/>
  <c r="M6" i="1"/>
  <c r="O5" i="1" s="1"/>
  <c r="M5" i="1"/>
  <c r="M4" i="1"/>
  <c r="M3" i="1"/>
  <c r="M2" i="1"/>
  <c r="O2" i="1" s="1"/>
  <c r="O17" i="1" l="1"/>
  <c r="O41" i="1"/>
  <c r="S32" i="1"/>
  <c r="S8" i="1"/>
  <c r="Q23" i="1"/>
  <c r="O11" i="1"/>
  <c r="O35" i="1"/>
  <c r="S38" i="1"/>
  <c r="S14" i="1"/>
  <c r="Q41" i="1"/>
  <c r="Q17" i="1"/>
  <c r="Q38" i="1"/>
  <c r="Q14" i="1"/>
  <c r="O20" i="1"/>
  <c r="O38" i="1"/>
  <c r="S44" i="1"/>
  <c r="P26" i="1"/>
  <c r="P20" i="1"/>
  <c r="S11" i="1"/>
  <c r="S2" i="1"/>
  <c r="Q35" i="1"/>
  <c r="Q11" i="1"/>
  <c r="O14" i="1"/>
  <c r="O23" i="1"/>
  <c r="Q32" i="1"/>
  <c r="Q8" i="1"/>
  <c r="S20" i="1"/>
  <c r="S26" i="1"/>
  <c r="P38" i="1"/>
  <c r="P44" i="1"/>
  <c r="P41" i="1"/>
  <c r="P35" i="1"/>
  <c r="P32" i="1"/>
  <c r="P29" i="1"/>
  <c r="P23" i="1"/>
  <c r="P17" i="1"/>
  <c r="P14" i="1"/>
  <c r="P8" i="1"/>
  <c r="P5" i="1"/>
  <c r="P2" i="1"/>
</calcChain>
</file>

<file path=xl/sharedStrings.xml><?xml version="1.0" encoding="utf-8"?>
<sst xmlns="http://schemas.openxmlformats.org/spreadsheetml/2006/main" count="139" uniqueCount="85">
  <si>
    <t>Rhizotron</t>
  </si>
  <si>
    <t>Espèce</t>
  </si>
  <si>
    <t>Fraction</t>
  </si>
  <si>
    <t>Barquette</t>
  </si>
  <si>
    <t>Date/Heure Mise en étuve</t>
  </si>
  <si>
    <t>Date/Heure Sortie d'étuve</t>
  </si>
  <si>
    <t>Root/shoot ratio</t>
  </si>
  <si>
    <t>E1</t>
  </si>
  <si>
    <t>Eriophorum</t>
  </si>
  <si>
    <t>Aérienne</t>
  </si>
  <si>
    <t>E1-AE</t>
  </si>
  <si>
    <t>Racinaire</t>
  </si>
  <si>
    <t>E1-RA</t>
  </si>
  <si>
    <t>Rhizomateuse</t>
  </si>
  <si>
    <t>E1-RH</t>
  </si>
  <si>
    <t>E2</t>
  </si>
  <si>
    <t>Carex</t>
  </si>
  <si>
    <t>E2-AE</t>
  </si>
  <si>
    <t>E2-RA</t>
  </si>
  <si>
    <t>E2-RH</t>
  </si>
  <si>
    <t>E3</t>
  </si>
  <si>
    <t>E3-AE</t>
  </si>
  <si>
    <t>E3-RA</t>
  </si>
  <si>
    <t>E3-RH</t>
  </si>
  <si>
    <t>E4</t>
  </si>
  <si>
    <t>E4-AE</t>
  </si>
  <si>
    <t>E4-RA</t>
  </si>
  <si>
    <t>E4-RH</t>
  </si>
  <si>
    <t>E5</t>
  </si>
  <si>
    <t>E5-AE</t>
  </si>
  <si>
    <t>E5-RA</t>
  </si>
  <si>
    <t>E5-RH</t>
  </si>
  <si>
    <t>E6</t>
  </si>
  <si>
    <t>E6-AE</t>
  </si>
  <si>
    <t>E6-RA</t>
  </si>
  <si>
    <t>E6-RH</t>
  </si>
  <si>
    <t>E7</t>
  </si>
  <si>
    <t>E7-AE</t>
  </si>
  <si>
    <t>E7-RA</t>
  </si>
  <si>
    <t>E7-RH</t>
  </si>
  <si>
    <t>E8</t>
  </si>
  <si>
    <t>E8-AE</t>
  </si>
  <si>
    <t>E8-RA</t>
  </si>
  <si>
    <t>E8-RH</t>
  </si>
  <si>
    <t>P1</t>
  </si>
  <si>
    <t>Phragmites</t>
  </si>
  <si>
    <t>P1-AE</t>
  </si>
  <si>
    <t>P1-RA</t>
  </si>
  <si>
    <t>P1-RH</t>
  </si>
  <si>
    <t>P2</t>
  </si>
  <si>
    <t>P2-AE</t>
  </si>
  <si>
    <t>P2-RA</t>
  </si>
  <si>
    <t>P2-RH</t>
  </si>
  <si>
    <t>P3</t>
  </si>
  <si>
    <t>P3-AE</t>
  </si>
  <si>
    <t>P3-RA</t>
  </si>
  <si>
    <t>P3-RH</t>
  </si>
  <si>
    <t>P4</t>
  </si>
  <si>
    <t>P4-AE</t>
  </si>
  <si>
    <t>P4-RA</t>
  </si>
  <si>
    <t>P4-RH</t>
  </si>
  <si>
    <t>P6</t>
  </si>
  <si>
    <t>P6-AE</t>
  </si>
  <si>
    <t>P6-RA</t>
  </si>
  <si>
    <t>P6-RH</t>
  </si>
  <si>
    <t>P7</t>
  </si>
  <si>
    <t>P7-AE</t>
  </si>
  <si>
    <t>P7-RA</t>
  </si>
  <si>
    <t>P7-RH</t>
  </si>
  <si>
    <t>P8</t>
  </si>
  <si>
    <t>P8-AE</t>
  </si>
  <si>
    <t>P8-RA</t>
  </si>
  <si>
    <t>P8-RH</t>
  </si>
  <si>
    <t>Durée étuve</t>
  </si>
  <si>
    <t>Masse barquette (g)</t>
  </si>
  <si>
    <t>Masse fraîche (g)</t>
  </si>
  <si>
    <t>Masse sèche (g)</t>
  </si>
  <si>
    <t>Hauteur sol (cm)</t>
  </si>
  <si>
    <t>Biomasse fraîche (g)</t>
  </si>
  <si>
    <t>Biomasse sèche (g)</t>
  </si>
  <si>
    <t>Biomasse fraîche totale (g)</t>
  </si>
  <si>
    <t>Biomasse sèche totale (g)</t>
  </si>
  <si>
    <t>Volume sol (dm3)</t>
  </si>
  <si>
    <t>Biomasse sèche souterraine totale (g)</t>
  </si>
  <si>
    <t>Biomasse souterraine par volume (g/dm3)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</si>
</sst>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;@"/>
    <numFmt numFmtId="165" formatCode="[h]&quot;h&quot;\ mm&quot;min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4" xfId="0" applyBorder="1" applyAlignment="1">
      <alignment horizontal="center" vertical="center"/>
    </xf>
    <xf numFmtId="0" fontId="0" fillId="0" borderId="14" xfId="0" applyBorder="1"/>
    <xf numFmtId="0" fontId="0" fillId="0" borderId="16" xfId="0" applyBorder="1"/>
    <xf numFmtId="164" fontId="0" fillId="0" borderId="6" xfId="0" applyNumberFormat="1" applyBorder="1"/>
    <xf numFmtId="164" fontId="0" fillId="0" borderId="10" xfId="0" applyNumberFormat="1" applyBorder="1"/>
    <xf numFmtId="164" fontId="0" fillId="0" borderId="14" xfId="0" applyNumberFormat="1" applyBorder="1"/>
    <xf numFmtId="164" fontId="0" fillId="0" borderId="16" xfId="0" applyNumberFormat="1" applyBorder="1"/>
    <xf numFmtId="0" fontId="1" fillId="0" borderId="21" xfId="0" applyFont="1" applyBorder="1" applyAlignment="1">
      <alignment horizontal="center" vertical="center" wrapText="1"/>
    </xf>
    <xf numFmtId="165" fontId="0" fillId="0" borderId="10" xfId="0" applyNumberFormat="1" applyBorder="1"/>
    <xf numFmtId="0" fontId="1" fillId="0" borderId="22" xfId="0" applyFont="1" applyBorder="1" applyAlignment="1">
      <alignment horizontal="center" vertical="center" wrapText="1"/>
    </xf>
    <xf numFmtId="0" fontId="0" fillId="0" borderId="7" xfId="0" applyBorder="1"/>
    <xf numFmtId="165" fontId="0" fillId="0" borderId="6" xfId="0" applyNumberFormat="1" applyBorder="1"/>
    <xf numFmtId="0" fontId="0" fillId="0" borderId="11" xfId="0" applyBorder="1"/>
    <xf numFmtId="0" fontId="0" fillId="0" borderId="17" xfId="0" applyBorder="1"/>
    <xf numFmtId="165" fontId="0" fillId="0" borderId="14" xfId="0" applyNumberFormat="1" applyBorder="1"/>
    <xf numFmtId="0" fontId="0" fillId="0" borderId="15" xfId="0" applyBorder="1"/>
    <xf numFmtId="0" fontId="0" fillId="0" borderId="16" xfId="0" applyBorder="1" applyAlignment="1">
      <alignment horizontal="center" vertical="center"/>
    </xf>
    <xf numFmtId="165" fontId="0" fillId="0" borderId="16" xfId="0" applyNumberFormat="1" applyBorder="1"/>
    <xf numFmtId="0" fontId="0" fillId="0" borderId="23" xfId="0" applyNumberFormat="1" applyBorder="1"/>
    <xf numFmtId="0" fontId="0" fillId="0" borderId="24" xfId="0" applyNumberFormat="1" applyBorder="1"/>
    <xf numFmtId="0" fontId="0" fillId="0" borderId="25" xfId="0" applyNumberFormat="1" applyBorder="1"/>
    <xf numFmtId="0" fontId="0" fillId="0" borderId="26" xfId="0" applyNumberFormat="1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7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0" fontId="0" fillId="3" borderId="10" xfId="0" applyNumberFormat="1" applyFill="1" applyBorder="1" applyAlignment="1">
      <alignment horizontal="center"/>
    </xf>
    <xf numFmtId="0" fontId="0" fillId="3" borderId="14" xfId="0" applyNumberFormat="1" applyFill="1" applyBorder="1" applyAlignment="1">
      <alignment horizontal="center"/>
    </xf>
    <xf numFmtId="2" fontId="0" fillId="5" borderId="27" xfId="0" applyNumberFormat="1" applyFill="1" applyBorder="1" applyAlignment="1">
      <alignment horizontal="center" vertical="center"/>
    </xf>
    <xf numFmtId="2" fontId="0" fillId="5" borderId="28" xfId="0" applyNumberFormat="1" applyFill="1" applyBorder="1" applyAlignment="1">
      <alignment horizontal="center" vertical="center"/>
    </xf>
    <xf numFmtId="2" fontId="0" fillId="5" borderId="29" xfId="0" applyNumberFormat="1" applyFill="1" applyBorder="1" applyAlignment="1">
      <alignment horizontal="center" vertical="center"/>
    </xf>
    <xf numFmtId="0" fontId="0" fillId="4" borderId="27" xfId="0" applyNumberFormat="1" applyFill="1" applyBorder="1" applyAlignment="1">
      <alignment horizontal="center" vertical="center"/>
    </xf>
    <xf numFmtId="0" fontId="0" fillId="4" borderId="28" xfId="0" applyNumberFormat="1" applyFill="1" applyBorder="1" applyAlignment="1">
      <alignment horizontal="center" vertical="center"/>
    </xf>
    <xf numFmtId="0" fontId="0" fillId="4" borderId="29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2" fontId="0" fillId="5" borderId="12" xfId="0" applyNumberFormat="1" applyFill="1" applyBorder="1" applyAlignment="1">
      <alignment horizontal="center" vertical="center"/>
    </xf>
    <xf numFmtId="2" fontId="0" fillId="5" borderId="20" xfId="0" applyNumberFormat="1" applyFill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1" sqref="E11"/>
    </sheetView>
  </sheetViews>
  <sheetFormatPr baseColWidth="10" defaultRowHeight="14.5" x14ac:dyDescent="0.35"/>
  <cols>
    <col min="2" max="2" width="12.81640625" customWidth="1"/>
    <col min="3" max="3" width="12.90625" bestFit="1" customWidth="1"/>
    <col min="7" max="7" width="12.453125" bestFit="1" customWidth="1"/>
    <col min="8" max="9" width="11.453125" bestFit="1" customWidth="1"/>
    <col min="10" max="11" width="11.453125" customWidth="1"/>
    <col min="13" max="13" width="15.36328125" bestFit="1" customWidth="1"/>
    <col min="14" max="14" width="14.26953125" bestFit="1" customWidth="1"/>
    <col min="15" max="18" width="14.453125" customWidth="1"/>
    <col min="19" max="19" width="16.90625" customWidth="1"/>
  </cols>
  <sheetData>
    <row r="1" spans="1:19" ht="54" customHeight="1" thickBot="1" x14ac:dyDescent="0.4">
      <c r="A1" s="28" t="s">
        <v>0</v>
      </c>
      <c r="B1" s="29" t="s">
        <v>1</v>
      </c>
      <c r="C1" s="15" t="s">
        <v>2</v>
      </c>
      <c r="D1" s="13" t="s">
        <v>3</v>
      </c>
      <c r="E1" s="15" t="s">
        <v>74</v>
      </c>
      <c r="F1" s="13" t="s">
        <v>75</v>
      </c>
      <c r="G1" s="13" t="s">
        <v>4</v>
      </c>
      <c r="H1" s="13" t="s">
        <v>5</v>
      </c>
      <c r="I1" s="13" t="s">
        <v>73</v>
      </c>
      <c r="J1" s="13" t="s">
        <v>76</v>
      </c>
      <c r="K1" s="13" t="s">
        <v>77</v>
      </c>
      <c r="L1" s="13" t="s">
        <v>82</v>
      </c>
      <c r="M1" s="30" t="s">
        <v>78</v>
      </c>
      <c r="N1" s="1" t="s">
        <v>79</v>
      </c>
      <c r="O1" s="1" t="s">
        <v>80</v>
      </c>
      <c r="P1" s="1" t="s">
        <v>81</v>
      </c>
      <c r="Q1" s="1" t="s">
        <v>83</v>
      </c>
      <c r="R1" s="1" t="s">
        <v>84</v>
      </c>
      <c r="S1" s="1" t="s">
        <v>6</v>
      </c>
    </row>
    <row r="2" spans="1:19" x14ac:dyDescent="0.35">
      <c r="A2" s="43" t="s">
        <v>7</v>
      </c>
      <c r="B2" s="43" t="s">
        <v>8</v>
      </c>
      <c r="C2" s="16" t="s">
        <v>9</v>
      </c>
      <c r="D2" s="2" t="s">
        <v>10</v>
      </c>
      <c r="E2" s="3">
        <v>11.06</v>
      </c>
      <c r="F2" s="3">
        <v>32.979999999999997</v>
      </c>
      <c r="G2" s="9">
        <v>45763.583333333336</v>
      </c>
      <c r="H2" s="9">
        <v>45770.379166666666</v>
      </c>
      <c r="I2" s="17">
        <f>H2-G2</f>
        <v>6.7958333333299379</v>
      </c>
      <c r="J2" s="24">
        <v>20.8</v>
      </c>
      <c r="K2" s="49">
        <v>33</v>
      </c>
      <c r="L2" s="52">
        <f>(20*6.5*K2)*0.001</f>
        <v>4.29</v>
      </c>
      <c r="M2" s="31">
        <f t="shared" ref="M2:M46" si="0">F2-E2</f>
        <v>21.919999999999995</v>
      </c>
      <c r="N2" s="34">
        <f>J2-E2</f>
        <v>9.74</v>
      </c>
      <c r="O2" s="55">
        <f>SUM(M2:M4)</f>
        <v>214.51999999999998</v>
      </c>
      <c r="P2" s="40">
        <f>SUM(N2:N4)</f>
        <v>43.379999999999995</v>
      </c>
      <c r="Q2" s="40">
        <f>SUM(N3:N4)</f>
        <v>33.64</v>
      </c>
      <c r="R2" s="37">
        <f>Q2/L2</f>
        <v>7.841491841491842</v>
      </c>
      <c r="S2" s="46">
        <f>(N3+N4)/N2</f>
        <v>3.4537987679671458</v>
      </c>
    </row>
    <row r="3" spans="1:19" x14ac:dyDescent="0.35">
      <c r="A3" s="44"/>
      <c r="B3" s="44"/>
      <c r="C3" s="18" t="s">
        <v>11</v>
      </c>
      <c r="D3" s="4" t="s">
        <v>12</v>
      </c>
      <c r="E3" s="5">
        <v>12.46</v>
      </c>
      <c r="F3" s="5">
        <v>141.08000000000001</v>
      </c>
      <c r="G3" s="10">
        <v>45763.583333333336</v>
      </c>
      <c r="H3" s="10">
        <v>45770.379166666666</v>
      </c>
      <c r="I3" s="14">
        <f t="shared" ref="I3:I46" si="1">H3-G3</f>
        <v>6.7958333333299379</v>
      </c>
      <c r="J3" s="25">
        <v>32.659999999999997</v>
      </c>
      <c r="K3" s="50"/>
      <c r="L3" s="53"/>
      <c r="M3" s="32">
        <f t="shared" si="0"/>
        <v>128.62</v>
      </c>
      <c r="N3" s="35">
        <f t="shared" ref="N3:N46" si="2">J3-E3</f>
        <v>20.199999999999996</v>
      </c>
      <c r="O3" s="56"/>
      <c r="P3" s="41"/>
      <c r="Q3" s="41"/>
      <c r="R3" s="38"/>
      <c r="S3" s="47"/>
    </row>
    <row r="4" spans="1:19" ht="15" thickBot="1" x14ac:dyDescent="0.4">
      <c r="A4" s="45"/>
      <c r="B4" s="45"/>
      <c r="C4" s="21" t="s">
        <v>13</v>
      </c>
      <c r="D4" s="22" t="s">
        <v>14</v>
      </c>
      <c r="E4" s="8">
        <v>11.16</v>
      </c>
      <c r="F4" s="8">
        <v>75.14</v>
      </c>
      <c r="G4" s="12">
        <v>45763.583333333336</v>
      </c>
      <c r="H4" s="12">
        <v>45770.379166666666</v>
      </c>
      <c r="I4" s="23">
        <f t="shared" si="1"/>
        <v>6.7958333333299379</v>
      </c>
      <c r="J4" s="26">
        <v>24.6</v>
      </c>
      <c r="K4" s="51"/>
      <c r="L4" s="54"/>
      <c r="M4" s="33">
        <f t="shared" si="0"/>
        <v>63.980000000000004</v>
      </c>
      <c r="N4" s="36">
        <f t="shared" si="2"/>
        <v>13.440000000000001</v>
      </c>
      <c r="O4" s="57"/>
      <c r="P4" s="42"/>
      <c r="Q4" s="42"/>
      <c r="R4" s="39"/>
      <c r="S4" s="48"/>
    </row>
    <row r="5" spans="1:19" x14ac:dyDescent="0.35">
      <c r="A5" s="43" t="s">
        <v>15</v>
      </c>
      <c r="B5" s="43" t="s">
        <v>16</v>
      </c>
      <c r="C5" s="16" t="s">
        <v>9</v>
      </c>
      <c r="D5" s="2" t="s">
        <v>17</v>
      </c>
      <c r="E5" s="3">
        <v>10.94</v>
      </c>
      <c r="F5" s="3">
        <v>26.8</v>
      </c>
      <c r="G5" s="9">
        <v>45763.583333333336</v>
      </c>
      <c r="H5" s="9">
        <v>45770.37777777778</v>
      </c>
      <c r="I5" s="17">
        <f t="shared" si="1"/>
        <v>6.7944444444437977</v>
      </c>
      <c r="J5" s="24">
        <v>16.84</v>
      </c>
      <c r="K5" s="49">
        <v>33</v>
      </c>
      <c r="L5" s="52">
        <f>(20*6.5*K5)*0.001</f>
        <v>4.29</v>
      </c>
      <c r="M5" s="31">
        <f t="shared" si="0"/>
        <v>15.860000000000001</v>
      </c>
      <c r="N5" s="34">
        <f t="shared" si="2"/>
        <v>5.9</v>
      </c>
      <c r="O5" s="55">
        <f>SUM(M5:M7)</f>
        <v>91.820000000000007</v>
      </c>
      <c r="P5" s="40">
        <f t="shared" ref="P5" si="3">SUM(N5:N7)</f>
        <v>21.080000000000005</v>
      </c>
      <c r="Q5" s="40">
        <f>SUM(N6:N7)</f>
        <v>15.180000000000003</v>
      </c>
      <c r="R5" s="37">
        <f t="shared" ref="R5" si="4">Q5/L5</f>
        <v>3.5384615384615392</v>
      </c>
      <c r="S5" s="46">
        <f>(N6+N7)/N5</f>
        <v>2.5728813559322039</v>
      </c>
    </row>
    <row r="6" spans="1:19" x14ac:dyDescent="0.35">
      <c r="A6" s="44"/>
      <c r="B6" s="44"/>
      <c r="C6" s="18" t="s">
        <v>11</v>
      </c>
      <c r="D6" s="4" t="s">
        <v>18</v>
      </c>
      <c r="E6" s="5">
        <v>11.08</v>
      </c>
      <c r="F6" s="5">
        <v>60.18</v>
      </c>
      <c r="G6" s="10">
        <v>45763.583333333336</v>
      </c>
      <c r="H6" s="10">
        <v>45770.37777777778</v>
      </c>
      <c r="I6" s="14">
        <f t="shared" si="1"/>
        <v>6.7944444444437977</v>
      </c>
      <c r="J6" s="25">
        <v>20.76</v>
      </c>
      <c r="K6" s="50"/>
      <c r="L6" s="53"/>
      <c r="M6" s="32">
        <f t="shared" si="0"/>
        <v>49.1</v>
      </c>
      <c r="N6" s="35">
        <f t="shared" si="2"/>
        <v>9.6800000000000015</v>
      </c>
      <c r="O6" s="56"/>
      <c r="P6" s="41"/>
      <c r="Q6" s="41"/>
      <c r="R6" s="38"/>
      <c r="S6" s="47"/>
    </row>
    <row r="7" spans="1:19" ht="15" thickBot="1" x14ac:dyDescent="0.4">
      <c r="A7" s="45"/>
      <c r="B7" s="45"/>
      <c r="C7" s="19" t="s">
        <v>13</v>
      </c>
      <c r="D7" s="6" t="s">
        <v>19</v>
      </c>
      <c r="E7" s="7">
        <v>12.42</v>
      </c>
      <c r="F7" s="7">
        <v>39.28</v>
      </c>
      <c r="G7" s="11">
        <v>45763.583333333336</v>
      </c>
      <c r="H7" s="11">
        <v>45770.37777777778</v>
      </c>
      <c r="I7" s="20">
        <f t="shared" si="1"/>
        <v>6.7944444444437977</v>
      </c>
      <c r="J7" s="27">
        <v>17.920000000000002</v>
      </c>
      <c r="K7" s="51"/>
      <c r="L7" s="54"/>
      <c r="M7" s="33">
        <f t="shared" si="0"/>
        <v>26.86</v>
      </c>
      <c r="N7" s="36">
        <f t="shared" si="2"/>
        <v>5.5000000000000018</v>
      </c>
      <c r="O7" s="57"/>
      <c r="P7" s="42"/>
      <c r="Q7" s="42"/>
      <c r="R7" s="39"/>
      <c r="S7" s="48"/>
    </row>
    <row r="8" spans="1:19" x14ac:dyDescent="0.35">
      <c r="A8" s="43" t="s">
        <v>20</v>
      </c>
      <c r="B8" s="43" t="s">
        <v>16</v>
      </c>
      <c r="C8" s="16" t="s">
        <v>9</v>
      </c>
      <c r="D8" s="2" t="s">
        <v>21</v>
      </c>
      <c r="E8" s="3">
        <v>12.34</v>
      </c>
      <c r="F8" s="3">
        <v>29</v>
      </c>
      <c r="G8" s="9">
        <v>45763.416666666664</v>
      </c>
      <c r="H8" s="9">
        <v>45770.377083333333</v>
      </c>
      <c r="I8" s="17">
        <f t="shared" si="1"/>
        <v>6.9604166666686069</v>
      </c>
      <c r="J8" s="24">
        <v>20.58</v>
      </c>
      <c r="K8" s="49">
        <v>32</v>
      </c>
      <c r="L8" s="52">
        <f>(20*6.5*K8)*0.001</f>
        <v>4.16</v>
      </c>
      <c r="M8" s="31">
        <f t="shared" si="0"/>
        <v>16.66</v>
      </c>
      <c r="N8" s="34">
        <f t="shared" si="2"/>
        <v>8.2399999999999984</v>
      </c>
      <c r="O8" s="55">
        <f t="shared" ref="O8:P8" si="5">SUM(M8:M10)</f>
        <v>84.26</v>
      </c>
      <c r="P8" s="40">
        <f t="shared" si="5"/>
        <v>22.54</v>
      </c>
      <c r="Q8" s="40">
        <f t="shared" ref="Q8" si="6">SUM(N9:N10)</f>
        <v>14.3</v>
      </c>
      <c r="R8" s="37">
        <f t="shared" ref="R8" si="7">Q8/L8</f>
        <v>3.4375</v>
      </c>
      <c r="S8" s="46">
        <f>(N9+N10)/N8</f>
        <v>1.7354368932038839</v>
      </c>
    </row>
    <row r="9" spans="1:19" x14ac:dyDescent="0.35">
      <c r="A9" s="44"/>
      <c r="B9" s="44"/>
      <c r="C9" s="18" t="s">
        <v>11</v>
      </c>
      <c r="D9" s="4" t="s">
        <v>22</v>
      </c>
      <c r="E9" s="5">
        <v>11.2</v>
      </c>
      <c r="F9" s="5">
        <v>60.6</v>
      </c>
      <c r="G9" s="10">
        <v>45763.416666666664</v>
      </c>
      <c r="H9" s="10">
        <v>45770.377083333333</v>
      </c>
      <c r="I9" s="14">
        <f t="shared" si="1"/>
        <v>6.9604166666686069</v>
      </c>
      <c r="J9" s="25">
        <v>20.68</v>
      </c>
      <c r="K9" s="50"/>
      <c r="L9" s="53"/>
      <c r="M9" s="32">
        <f t="shared" si="0"/>
        <v>49.400000000000006</v>
      </c>
      <c r="N9" s="35">
        <f t="shared" si="2"/>
        <v>9.48</v>
      </c>
      <c r="O9" s="56"/>
      <c r="P9" s="41"/>
      <c r="Q9" s="41"/>
      <c r="R9" s="38"/>
      <c r="S9" s="47"/>
    </row>
    <row r="10" spans="1:19" ht="15" thickBot="1" x14ac:dyDescent="0.4">
      <c r="A10" s="58"/>
      <c r="B10" s="58"/>
      <c r="C10" s="19" t="s">
        <v>13</v>
      </c>
      <c r="D10" s="6" t="s">
        <v>23</v>
      </c>
      <c r="E10" s="7">
        <v>10.98</v>
      </c>
      <c r="F10" s="7">
        <v>29.18</v>
      </c>
      <c r="G10" s="11">
        <v>45763.416666666664</v>
      </c>
      <c r="H10" s="11">
        <v>45770.377083333333</v>
      </c>
      <c r="I10" s="20">
        <f t="shared" si="1"/>
        <v>6.9604166666686069</v>
      </c>
      <c r="J10" s="27">
        <v>15.8</v>
      </c>
      <c r="K10" s="51"/>
      <c r="L10" s="54"/>
      <c r="M10" s="33">
        <f t="shared" si="0"/>
        <v>18.2</v>
      </c>
      <c r="N10" s="36">
        <f t="shared" si="2"/>
        <v>4.82</v>
      </c>
      <c r="O10" s="57"/>
      <c r="P10" s="42"/>
      <c r="Q10" s="42"/>
      <c r="R10" s="39"/>
      <c r="S10" s="48"/>
    </row>
    <row r="11" spans="1:19" x14ac:dyDescent="0.35">
      <c r="A11" s="43" t="s">
        <v>24</v>
      </c>
      <c r="B11" s="43" t="s">
        <v>8</v>
      </c>
      <c r="C11" s="16" t="s">
        <v>9</v>
      </c>
      <c r="D11" s="2" t="s">
        <v>25</v>
      </c>
      <c r="E11" s="3">
        <v>12.58</v>
      </c>
      <c r="F11" s="3">
        <v>30.78</v>
      </c>
      <c r="G11" s="9">
        <v>45763.583333333336</v>
      </c>
      <c r="H11" s="9">
        <v>45770.375694444447</v>
      </c>
      <c r="I11" s="17">
        <f t="shared" si="1"/>
        <v>6.7923611111109494</v>
      </c>
      <c r="J11" s="24">
        <v>18.84</v>
      </c>
      <c r="K11" s="49">
        <v>31</v>
      </c>
      <c r="L11" s="52">
        <f>(20*6.5*K11)*0.001</f>
        <v>4.03</v>
      </c>
      <c r="M11" s="31">
        <f t="shared" si="0"/>
        <v>18.200000000000003</v>
      </c>
      <c r="N11" s="34">
        <f t="shared" si="2"/>
        <v>6.26</v>
      </c>
      <c r="O11" s="55">
        <f t="shared" ref="O11:P11" si="8">SUM(M11:M13)</f>
        <v>133.78</v>
      </c>
      <c r="P11" s="40">
        <f t="shared" si="8"/>
        <v>23.88</v>
      </c>
      <c r="Q11" s="40">
        <f t="shared" ref="Q11" si="9">SUM(N12:N13)</f>
        <v>17.619999999999997</v>
      </c>
      <c r="R11" s="37">
        <f t="shared" ref="R11" si="10">Q11/L11</f>
        <v>4.3722084367245646</v>
      </c>
      <c r="S11" s="46">
        <f>(N12+N13)/N11</f>
        <v>2.8146964856230028</v>
      </c>
    </row>
    <row r="12" spans="1:19" x14ac:dyDescent="0.35">
      <c r="A12" s="44"/>
      <c r="B12" s="44"/>
      <c r="C12" s="18" t="s">
        <v>11</v>
      </c>
      <c r="D12" s="4" t="s">
        <v>26</v>
      </c>
      <c r="E12" s="5">
        <v>10.94</v>
      </c>
      <c r="F12" s="5">
        <v>90.9</v>
      </c>
      <c r="G12" s="10">
        <v>45763.583333333336</v>
      </c>
      <c r="H12" s="10">
        <v>45770.375694444447</v>
      </c>
      <c r="I12" s="14">
        <f t="shared" si="1"/>
        <v>6.7923611111109494</v>
      </c>
      <c r="J12" s="25">
        <v>21.58</v>
      </c>
      <c r="K12" s="50"/>
      <c r="L12" s="53"/>
      <c r="M12" s="32">
        <f t="shared" si="0"/>
        <v>79.960000000000008</v>
      </c>
      <c r="N12" s="35">
        <f t="shared" si="2"/>
        <v>10.639999999999999</v>
      </c>
      <c r="O12" s="56"/>
      <c r="P12" s="41"/>
      <c r="Q12" s="41"/>
      <c r="R12" s="38"/>
      <c r="S12" s="47"/>
    </row>
    <row r="13" spans="1:19" ht="15" thickBot="1" x14ac:dyDescent="0.4">
      <c r="A13" s="45"/>
      <c r="B13" s="45"/>
      <c r="C13" s="19" t="s">
        <v>13</v>
      </c>
      <c r="D13" s="6" t="s">
        <v>27</v>
      </c>
      <c r="E13" s="7">
        <v>11</v>
      </c>
      <c r="F13" s="7">
        <v>46.62</v>
      </c>
      <c r="G13" s="11">
        <v>45763.583333333336</v>
      </c>
      <c r="H13" s="11">
        <v>45770.375694444447</v>
      </c>
      <c r="I13" s="20">
        <f t="shared" si="1"/>
        <v>6.7923611111109494</v>
      </c>
      <c r="J13" s="27">
        <v>17.98</v>
      </c>
      <c r="K13" s="51"/>
      <c r="L13" s="54"/>
      <c r="M13" s="33">
        <f t="shared" si="0"/>
        <v>35.619999999999997</v>
      </c>
      <c r="N13" s="36">
        <f t="shared" si="2"/>
        <v>6.98</v>
      </c>
      <c r="O13" s="57"/>
      <c r="P13" s="42"/>
      <c r="Q13" s="42"/>
      <c r="R13" s="39"/>
      <c r="S13" s="48"/>
    </row>
    <row r="14" spans="1:19" x14ac:dyDescent="0.35">
      <c r="A14" s="43" t="s">
        <v>28</v>
      </c>
      <c r="B14" s="43" t="s">
        <v>8</v>
      </c>
      <c r="C14" s="16" t="s">
        <v>9</v>
      </c>
      <c r="D14" s="2" t="s">
        <v>29</v>
      </c>
      <c r="E14" s="3">
        <v>11.28</v>
      </c>
      <c r="F14" s="3">
        <v>43.48</v>
      </c>
      <c r="G14" s="9">
        <v>45763.416666666664</v>
      </c>
      <c r="H14" s="9">
        <v>45770.374305555553</v>
      </c>
      <c r="I14" s="17">
        <f t="shared" si="1"/>
        <v>6.9576388888890506</v>
      </c>
      <c r="J14" s="24">
        <v>28.96</v>
      </c>
      <c r="K14" s="49">
        <v>34</v>
      </c>
      <c r="L14" s="52">
        <f>(20*6.5*K14)*0.001</f>
        <v>4.42</v>
      </c>
      <c r="M14" s="31">
        <f t="shared" si="0"/>
        <v>32.199999999999996</v>
      </c>
      <c r="N14" s="34">
        <f t="shared" si="2"/>
        <v>17.68</v>
      </c>
      <c r="O14" s="55">
        <f t="shared" ref="O14:P14" si="11">SUM(M14:M16)</f>
        <v>196.14</v>
      </c>
      <c r="P14" s="40">
        <f t="shared" si="11"/>
        <v>44.940000000000005</v>
      </c>
      <c r="Q14" s="40">
        <f t="shared" ref="Q14" si="12">SUM(N15:N16)</f>
        <v>27.26</v>
      </c>
      <c r="R14" s="37">
        <f t="shared" ref="R14" si="13">Q14/L14</f>
        <v>6.1674208144796383</v>
      </c>
      <c r="S14" s="46">
        <f>(N15+N16)/N14</f>
        <v>1.5418552036199096</v>
      </c>
    </row>
    <row r="15" spans="1:19" x14ac:dyDescent="0.35">
      <c r="A15" s="44"/>
      <c r="B15" s="44"/>
      <c r="C15" s="18" t="s">
        <v>11</v>
      </c>
      <c r="D15" s="4" t="s">
        <v>30</v>
      </c>
      <c r="E15" s="5">
        <v>12.44</v>
      </c>
      <c r="F15" s="5">
        <v>118.56</v>
      </c>
      <c r="G15" s="10">
        <v>45763.416666666664</v>
      </c>
      <c r="H15" s="10">
        <v>45770.374305555553</v>
      </c>
      <c r="I15" s="14">
        <f t="shared" si="1"/>
        <v>6.9576388888890506</v>
      </c>
      <c r="J15" s="25">
        <v>26.72</v>
      </c>
      <c r="K15" s="50"/>
      <c r="L15" s="53"/>
      <c r="M15" s="32">
        <f t="shared" si="0"/>
        <v>106.12</v>
      </c>
      <c r="N15" s="35">
        <f t="shared" si="2"/>
        <v>14.28</v>
      </c>
      <c r="O15" s="56"/>
      <c r="P15" s="41"/>
      <c r="Q15" s="41"/>
      <c r="R15" s="38"/>
      <c r="S15" s="47"/>
    </row>
    <row r="16" spans="1:19" ht="15" thickBot="1" x14ac:dyDescent="0.4">
      <c r="A16" s="45"/>
      <c r="B16" s="45"/>
      <c r="C16" s="19" t="s">
        <v>13</v>
      </c>
      <c r="D16" s="6" t="s">
        <v>31</v>
      </c>
      <c r="E16" s="7">
        <v>11.12</v>
      </c>
      <c r="F16" s="7">
        <v>68.94</v>
      </c>
      <c r="G16" s="11">
        <v>45763.416666666664</v>
      </c>
      <c r="H16" s="11">
        <v>45770.374305555553</v>
      </c>
      <c r="I16" s="20">
        <f t="shared" si="1"/>
        <v>6.9576388888890506</v>
      </c>
      <c r="J16" s="27">
        <v>24.1</v>
      </c>
      <c r="K16" s="51"/>
      <c r="L16" s="54"/>
      <c r="M16" s="33">
        <f t="shared" si="0"/>
        <v>57.82</v>
      </c>
      <c r="N16" s="36">
        <f t="shared" si="2"/>
        <v>12.980000000000002</v>
      </c>
      <c r="O16" s="57"/>
      <c r="P16" s="42"/>
      <c r="Q16" s="42"/>
      <c r="R16" s="39"/>
      <c r="S16" s="48"/>
    </row>
    <row r="17" spans="1:19" x14ac:dyDescent="0.35">
      <c r="A17" s="43" t="s">
        <v>32</v>
      </c>
      <c r="B17" s="43" t="s">
        <v>8</v>
      </c>
      <c r="C17" s="16" t="s">
        <v>9</v>
      </c>
      <c r="D17" s="2" t="s">
        <v>33</v>
      </c>
      <c r="E17" s="3">
        <v>12.32</v>
      </c>
      <c r="F17" s="3">
        <v>22.16</v>
      </c>
      <c r="G17" s="9">
        <v>45763.416666666664</v>
      </c>
      <c r="H17" s="9">
        <v>45770.373611111114</v>
      </c>
      <c r="I17" s="17">
        <f t="shared" si="1"/>
        <v>6.9569444444496185</v>
      </c>
      <c r="J17" s="24">
        <v>18.579999999999998</v>
      </c>
      <c r="K17" s="49">
        <v>32</v>
      </c>
      <c r="L17" s="52">
        <f>(20*6.5*K17)*0.001</f>
        <v>4.16</v>
      </c>
      <c r="M17" s="31">
        <f t="shared" si="0"/>
        <v>9.84</v>
      </c>
      <c r="N17" s="34">
        <f t="shared" si="2"/>
        <v>6.259999999999998</v>
      </c>
      <c r="O17" s="55">
        <f t="shared" ref="O17:P17" si="14">SUM(M17:M19)</f>
        <v>168.6</v>
      </c>
      <c r="P17" s="40">
        <f t="shared" si="14"/>
        <v>33.799999999999997</v>
      </c>
      <c r="Q17" s="40">
        <f t="shared" ref="Q17" si="15">SUM(N18:N19)</f>
        <v>27.54</v>
      </c>
      <c r="R17" s="37">
        <f t="shared" ref="R17" si="16">Q17/L17</f>
        <v>6.6201923076923075</v>
      </c>
      <c r="S17" s="46">
        <f>(N18+N19)/N17</f>
        <v>4.3993610223642188</v>
      </c>
    </row>
    <row r="18" spans="1:19" x14ac:dyDescent="0.35">
      <c r="A18" s="44"/>
      <c r="B18" s="44"/>
      <c r="C18" s="18" t="s">
        <v>11</v>
      </c>
      <c r="D18" s="4" t="s">
        <v>34</v>
      </c>
      <c r="E18" s="5">
        <v>12.76</v>
      </c>
      <c r="F18" s="5">
        <v>141.41999999999999</v>
      </c>
      <c r="G18" s="10">
        <v>45763.416666666664</v>
      </c>
      <c r="H18" s="10">
        <v>45770.373611111114</v>
      </c>
      <c r="I18" s="14">
        <f t="shared" si="1"/>
        <v>6.9569444444496185</v>
      </c>
      <c r="J18" s="25">
        <v>31.74</v>
      </c>
      <c r="K18" s="50"/>
      <c r="L18" s="53"/>
      <c r="M18" s="32">
        <f t="shared" si="0"/>
        <v>128.66</v>
      </c>
      <c r="N18" s="35">
        <f t="shared" si="2"/>
        <v>18.979999999999997</v>
      </c>
      <c r="O18" s="56"/>
      <c r="P18" s="41"/>
      <c r="Q18" s="41"/>
      <c r="R18" s="38"/>
      <c r="S18" s="47"/>
    </row>
    <row r="19" spans="1:19" ht="15" thickBot="1" x14ac:dyDescent="0.4">
      <c r="A19" s="45"/>
      <c r="B19" s="45"/>
      <c r="C19" s="19" t="s">
        <v>13</v>
      </c>
      <c r="D19" s="6" t="s">
        <v>35</v>
      </c>
      <c r="E19" s="7">
        <v>11.08</v>
      </c>
      <c r="F19" s="7">
        <v>41.18</v>
      </c>
      <c r="G19" s="11">
        <v>45763.416666666664</v>
      </c>
      <c r="H19" s="11">
        <v>45770.373611111114</v>
      </c>
      <c r="I19" s="20">
        <f t="shared" si="1"/>
        <v>6.9569444444496185</v>
      </c>
      <c r="J19" s="27">
        <v>19.64</v>
      </c>
      <c r="K19" s="51"/>
      <c r="L19" s="54"/>
      <c r="M19" s="33">
        <f t="shared" si="0"/>
        <v>30.1</v>
      </c>
      <c r="N19" s="36">
        <f t="shared" si="2"/>
        <v>8.56</v>
      </c>
      <c r="O19" s="57"/>
      <c r="P19" s="42"/>
      <c r="Q19" s="42"/>
      <c r="R19" s="39"/>
      <c r="S19" s="48"/>
    </row>
    <row r="20" spans="1:19" x14ac:dyDescent="0.35">
      <c r="A20" s="43" t="s">
        <v>36</v>
      </c>
      <c r="B20" s="43" t="s">
        <v>16</v>
      </c>
      <c r="C20" s="16" t="s">
        <v>9</v>
      </c>
      <c r="D20" s="2" t="s">
        <v>37</v>
      </c>
      <c r="E20" s="3">
        <v>11.02</v>
      </c>
      <c r="F20" s="3">
        <v>20.12</v>
      </c>
      <c r="G20" s="9">
        <v>45763.416666666664</v>
      </c>
      <c r="H20" s="9">
        <v>45770.371527777781</v>
      </c>
      <c r="I20" s="17">
        <f t="shared" si="1"/>
        <v>6.9548611111167702</v>
      </c>
      <c r="J20" s="24">
        <v>16.46</v>
      </c>
      <c r="K20" s="49">
        <v>30</v>
      </c>
      <c r="L20" s="52">
        <f>(20*6.5*K20)*0.001</f>
        <v>3.9</v>
      </c>
      <c r="M20" s="31">
        <f t="shared" si="0"/>
        <v>9.1000000000000014</v>
      </c>
      <c r="N20" s="34">
        <f t="shared" si="2"/>
        <v>5.4400000000000013</v>
      </c>
      <c r="O20" s="55">
        <f t="shared" ref="O20:P20" si="17">SUM(M20:M22)</f>
        <v>119.58000000000001</v>
      </c>
      <c r="P20" s="40">
        <f t="shared" si="17"/>
        <v>26.480000000000004</v>
      </c>
      <c r="Q20" s="40">
        <f t="shared" ref="Q20" si="18">SUM(N21:N22)</f>
        <v>21.04</v>
      </c>
      <c r="R20" s="37">
        <f t="shared" ref="R20" si="19">Q20/L20</f>
        <v>5.3948717948717944</v>
      </c>
      <c r="S20" s="46">
        <f>(N21+N22)/N20</f>
        <v>3.8676470588235285</v>
      </c>
    </row>
    <row r="21" spans="1:19" x14ac:dyDescent="0.35">
      <c r="A21" s="44"/>
      <c r="B21" s="44"/>
      <c r="C21" s="18" t="s">
        <v>11</v>
      </c>
      <c r="D21" s="4" t="s">
        <v>38</v>
      </c>
      <c r="E21" s="5">
        <v>11.06</v>
      </c>
      <c r="F21" s="5">
        <v>91.58</v>
      </c>
      <c r="G21" s="10">
        <v>45763.416666666664</v>
      </c>
      <c r="H21" s="10">
        <v>45770.371527777781</v>
      </c>
      <c r="I21" s="14">
        <f t="shared" si="1"/>
        <v>6.9548611111167702</v>
      </c>
      <c r="J21" s="25">
        <v>26.1</v>
      </c>
      <c r="K21" s="50"/>
      <c r="L21" s="53"/>
      <c r="M21" s="32">
        <f t="shared" si="0"/>
        <v>80.52</v>
      </c>
      <c r="N21" s="35">
        <f t="shared" si="2"/>
        <v>15.040000000000001</v>
      </c>
      <c r="O21" s="56"/>
      <c r="P21" s="41"/>
      <c r="Q21" s="41"/>
      <c r="R21" s="38"/>
      <c r="S21" s="47"/>
    </row>
    <row r="22" spans="1:19" ht="15" thickBot="1" x14ac:dyDescent="0.4">
      <c r="A22" s="45"/>
      <c r="B22" s="45"/>
      <c r="C22" s="19" t="s">
        <v>13</v>
      </c>
      <c r="D22" s="6" t="s">
        <v>39</v>
      </c>
      <c r="E22" s="7">
        <v>12.5</v>
      </c>
      <c r="F22" s="7">
        <v>42.46</v>
      </c>
      <c r="G22" s="11">
        <v>45763.416666666664</v>
      </c>
      <c r="H22" s="11">
        <v>45770.371527777781</v>
      </c>
      <c r="I22" s="20">
        <f t="shared" si="1"/>
        <v>6.9548611111167702</v>
      </c>
      <c r="J22" s="27">
        <v>18.5</v>
      </c>
      <c r="K22" s="51"/>
      <c r="L22" s="54"/>
      <c r="M22" s="33">
        <f t="shared" si="0"/>
        <v>29.96</v>
      </c>
      <c r="N22" s="36">
        <f t="shared" si="2"/>
        <v>6</v>
      </c>
      <c r="O22" s="57"/>
      <c r="P22" s="42"/>
      <c r="Q22" s="42"/>
      <c r="R22" s="39"/>
      <c r="S22" s="48"/>
    </row>
    <row r="23" spans="1:19" x14ac:dyDescent="0.35">
      <c r="A23" s="59" t="s">
        <v>40</v>
      </c>
      <c r="B23" s="59" t="s">
        <v>8</v>
      </c>
      <c r="C23" s="16" t="s">
        <v>9</v>
      </c>
      <c r="D23" s="2" t="s">
        <v>41</v>
      </c>
      <c r="E23" s="3">
        <v>10.96</v>
      </c>
      <c r="F23" s="3">
        <v>40.24</v>
      </c>
      <c r="G23" s="9">
        <v>45763.583333333336</v>
      </c>
      <c r="H23" s="9">
        <v>45770.368055555555</v>
      </c>
      <c r="I23" s="17">
        <f t="shared" si="1"/>
        <v>6.7847222222189885</v>
      </c>
      <c r="J23" s="24">
        <v>21.88</v>
      </c>
      <c r="K23" s="49">
        <v>30</v>
      </c>
      <c r="L23" s="52">
        <f>(20*6.5*K23)*0.001</f>
        <v>3.9</v>
      </c>
      <c r="M23" s="31">
        <f t="shared" si="0"/>
        <v>29.28</v>
      </c>
      <c r="N23" s="34">
        <f t="shared" si="2"/>
        <v>10.919999999999998</v>
      </c>
      <c r="O23" s="55">
        <f>SUM(M23:M25)</f>
        <v>174.3</v>
      </c>
      <c r="P23" s="40">
        <f t="shared" ref="P23" si="20">SUM(N23:N25)</f>
        <v>35.299999999999997</v>
      </c>
      <c r="Q23" s="40">
        <f t="shared" ref="Q23" si="21">SUM(N24:N25)</f>
        <v>24.380000000000003</v>
      </c>
      <c r="R23" s="37">
        <f t="shared" ref="R23" si="22">Q23/L23</f>
        <v>6.2512820512820522</v>
      </c>
      <c r="S23" s="46">
        <f>(N24+N25)/N23</f>
        <v>2.2326007326007331</v>
      </c>
    </row>
    <row r="24" spans="1:19" x14ac:dyDescent="0.35">
      <c r="A24" s="44"/>
      <c r="B24" s="44"/>
      <c r="C24" s="18" t="s">
        <v>11</v>
      </c>
      <c r="D24" s="4" t="s">
        <v>42</v>
      </c>
      <c r="E24" s="5">
        <v>10.94</v>
      </c>
      <c r="F24" s="5">
        <v>100.12</v>
      </c>
      <c r="G24" s="10">
        <v>45763.583333333336</v>
      </c>
      <c r="H24" s="10">
        <v>45770.368055555555</v>
      </c>
      <c r="I24" s="14">
        <f t="shared" si="1"/>
        <v>6.7847222222189885</v>
      </c>
      <c r="J24" s="25">
        <v>24.46</v>
      </c>
      <c r="K24" s="50"/>
      <c r="L24" s="53"/>
      <c r="M24" s="32">
        <f t="shared" si="0"/>
        <v>89.18</v>
      </c>
      <c r="N24" s="35">
        <f t="shared" si="2"/>
        <v>13.520000000000001</v>
      </c>
      <c r="O24" s="56"/>
      <c r="P24" s="41"/>
      <c r="Q24" s="41"/>
      <c r="R24" s="38"/>
      <c r="S24" s="47"/>
    </row>
    <row r="25" spans="1:19" ht="15" thickBot="1" x14ac:dyDescent="0.4">
      <c r="A25" s="45"/>
      <c r="B25" s="45"/>
      <c r="C25" s="19" t="s">
        <v>13</v>
      </c>
      <c r="D25" s="6" t="s">
        <v>43</v>
      </c>
      <c r="E25" s="7">
        <v>10.98</v>
      </c>
      <c r="F25" s="7">
        <v>66.819999999999993</v>
      </c>
      <c r="G25" s="11">
        <v>45763.583333333336</v>
      </c>
      <c r="H25" s="11">
        <v>45770.368055555555</v>
      </c>
      <c r="I25" s="20">
        <f t="shared" si="1"/>
        <v>6.7847222222189885</v>
      </c>
      <c r="J25" s="27">
        <v>21.84</v>
      </c>
      <c r="K25" s="51"/>
      <c r="L25" s="54"/>
      <c r="M25" s="33">
        <f t="shared" si="0"/>
        <v>55.839999999999989</v>
      </c>
      <c r="N25" s="36">
        <f t="shared" si="2"/>
        <v>10.86</v>
      </c>
      <c r="O25" s="57"/>
      <c r="P25" s="42"/>
      <c r="Q25" s="42"/>
      <c r="R25" s="39"/>
      <c r="S25" s="48"/>
    </row>
    <row r="26" spans="1:19" x14ac:dyDescent="0.35">
      <c r="A26" s="43" t="s">
        <v>44</v>
      </c>
      <c r="B26" s="43" t="s">
        <v>45</v>
      </c>
      <c r="C26" s="16" t="s">
        <v>9</v>
      </c>
      <c r="D26" s="2" t="s">
        <v>46</v>
      </c>
      <c r="E26" s="3">
        <v>12.38</v>
      </c>
      <c r="F26" s="3">
        <v>17.02</v>
      </c>
      <c r="G26" s="9">
        <v>45762.661111111112</v>
      </c>
      <c r="H26" s="9">
        <v>45770.386111111111</v>
      </c>
      <c r="I26" s="17">
        <f t="shared" si="1"/>
        <v>7.7249999999985448</v>
      </c>
      <c r="J26" s="24">
        <v>15.48</v>
      </c>
      <c r="K26" s="49">
        <v>33</v>
      </c>
      <c r="L26" s="52">
        <f>(20*6.5*K26)*0.001</f>
        <v>4.29</v>
      </c>
      <c r="M26" s="31">
        <f t="shared" si="0"/>
        <v>4.6399999999999988</v>
      </c>
      <c r="N26" s="34">
        <f t="shared" si="2"/>
        <v>3.0999999999999996</v>
      </c>
      <c r="O26" s="55">
        <f t="shared" ref="O26:P26" si="23">SUM(M26:M28)</f>
        <v>49.180000000000007</v>
      </c>
      <c r="P26" s="40">
        <f t="shared" si="23"/>
        <v>12.519999999999998</v>
      </c>
      <c r="Q26" s="40">
        <f t="shared" ref="Q26" si="24">SUM(N27:N28)</f>
        <v>9.4199999999999982</v>
      </c>
      <c r="R26" s="37">
        <f t="shared" ref="R26" si="25">Q26/L26</f>
        <v>2.1958041958041954</v>
      </c>
      <c r="S26" s="46">
        <f>(N27+N28)/N26</f>
        <v>3.0387096774193547</v>
      </c>
    </row>
    <row r="27" spans="1:19" x14ac:dyDescent="0.35">
      <c r="A27" s="44"/>
      <c r="B27" s="44"/>
      <c r="C27" s="18" t="s">
        <v>11</v>
      </c>
      <c r="D27" s="4" t="s">
        <v>47</v>
      </c>
      <c r="E27" s="5">
        <v>11.08</v>
      </c>
      <c r="F27" s="5">
        <v>37.340000000000003</v>
      </c>
      <c r="G27" s="10">
        <v>45762.661111111112</v>
      </c>
      <c r="H27" s="10">
        <v>45770.386111111111</v>
      </c>
      <c r="I27" s="14">
        <f t="shared" si="1"/>
        <v>7.7249999999985448</v>
      </c>
      <c r="J27" s="25">
        <v>14.86</v>
      </c>
      <c r="K27" s="50"/>
      <c r="L27" s="53"/>
      <c r="M27" s="32">
        <f t="shared" si="0"/>
        <v>26.260000000000005</v>
      </c>
      <c r="N27" s="35">
        <f t="shared" si="2"/>
        <v>3.7799999999999994</v>
      </c>
      <c r="O27" s="56"/>
      <c r="P27" s="41"/>
      <c r="Q27" s="41"/>
      <c r="R27" s="38"/>
      <c r="S27" s="47"/>
    </row>
    <row r="28" spans="1:19" ht="15" thickBot="1" x14ac:dyDescent="0.4">
      <c r="A28" s="45"/>
      <c r="B28" s="45"/>
      <c r="C28" s="19" t="s">
        <v>13</v>
      </c>
      <c r="D28" s="6" t="s">
        <v>48</v>
      </c>
      <c r="E28" s="7">
        <v>11.08</v>
      </c>
      <c r="F28" s="7">
        <v>29.36</v>
      </c>
      <c r="G28" s="11">
        <v>45762.661111111112</v>
      </c>
      <c r="H28" s="11">
        <v>45770.386111111111</v>
      </c>
      <c r="I28" s="20">
        <f t="shared" si="1"/>
        <v>7.7249999999985448</v>
      </c>
      <c r="J28" s="27">
        <v>16.72</v>
      </c>
      <c r="K28" s="51"/>
      <c r="L28" s="54"/>
      <c r="M28" s="33">
        <f t="shared" si="0"/>
        <v>18.28</v>
      </c>
      <c r="N28" s="36">
        <f t="shared" si="2"/>
        <v>5.6399999999999988</v>
      </c>
      <c r="O28" s="57"/>
      <c r="P28" s="42"/>
      <c r="Q28" s="42"/>
      <c r="R28" s="39"/>
      <c r="S28" s="48"/>
    </row>
    <row r="29" spans="1:19" x14ac:dyDescent="0.35">
      <c r="A29" s="43" t="s">
        <v>49</v>
      </c>
      <c r="B29" s="43" t="s">
        <v>45</v>
      </c>
      <c r="C29" s="16" t="s">
        <v>9</v>
      </c>
      <c r="D29" s="2" t="s">
        <v>50</v>
      </c>
      <c r="E29" s="3">
        <v>11.02</v>
      </c>
      <c r="F29" s="3">
        <v>17.68</v>
      </c>
      <c r="G29" s="9">
        <v>45762.661111111112</v>
      </c>
      <c r="H29" s="9">
        <v>45770.384722222225</v>
      </c>
      <c r="I29" s="17">
        <f t="shared" si="1"/>
        <v>7.7236111111124046</v>
      </c>
      <c r="J29" s="24">
        <v>15.36</v>
      </c>
      <c r="K29" s="49">
        <v>34</v>
      </c>
      <c r="L29" s="52">
        <f>(20*6.5*K29)*0.001</f>
        <v>4.42</v>
      </c>
      <c r="M29" s="31">
        <f t="shared" si="0"/>
        <v>6.66</v>
      </c>
      <c r="N29" s="34">
        <f t="shared" si="2"/>
        <v>4.34</v>
      </c>
      <c r="O29" s="55">
        <f t="shared" ref="O29:P29" si="26">SUM(M29:M31)</f>
        <v>79.900000000000006</v>
      </c>
      <c r="P29" s="40">
        <f t="shared" si="26"/>
        <v>20.2</v>
      </c>
      <c r="Q29" s="40">
        <f t="shared" ref="Q29" si="27">SUM(N30:N31)</f>
        <v>15.86</v>
      </c>
      <c r="R29" s="37">
        <f t="shared" ref="R29" si="28">Q29/L29</f>
        <v>3.5882352941176472</v>
      </c>
      <c r="S29" s="46">
        <f>(N30+N31)/N29</f>
        <v>3.6543778801843319</v>
      </c>
    </row>
    <row r="30" spans="1:19" x14ac:dyDescent="0.35">
      <c r="A30" s="44"/>
      <c r="B30" s="44"/>
      <c r="C30" s="18" t="s">
        <v>11</v>
      </c>
      <c r="D30" s="4" t="s">
        <v>51</v>
      </c>
      <c r="E30" s="5">
        <v>11.32</v>
      </c>
      <c r="F30" s="5">
        <v>53.56</v>
      </c>
      <c r="G30" s="10">
        <v>45762.661111111112</v>
      </c>
      <c r="H30" s="10">
        <v>45770.384722222225</v>
      </c>
      <c r="I30" s="14">
        <f t="shared" si="1"/>
        <v>7.7236111111124046</v>
      </c>
      <c r="J30" s="25">
        <v>17.239999999999998</v>
      </c>
      <c r="K30" s="50"/>
      <c r="L30" s="53"/>
      <c r="M30" s="32">
        <f t="shared" si="0"/>
        <v>42.24</v>
      </c>
      <c r="N30" s="35">
        <f t="shared" si="2"/>
        <v>5.9199999999999982</v>
      </c>
      <c r="O30" s="56"/>
      <c r="P30" s="41"/>
      <c r="Q30" s="41"/>
      <c r="R30" s="38"/>
      <c r="S30" s="47"/>
    </row>
    <row r="31" spans="1:19" ht="15" thickBot="1" x14ac:dyDescent="0.4">
      <c r="A31" s="45"/>
      <c r="B31" s="45"/>
      <c r="C31" s="19" t="s">
        <v>13</v>
      </c>
      <c r="D31" s="6" t="s">
        <v>52</v>
      </c>
      <c r="E31" s="7">
        <v>11.18</v>
      </c>
      <c r="F31" s="7">
        <v>42.18</v>
      </c>
      <c r="G31" s="11">
        <v>45762.661111111112</v>
      </c>
      <c r="H31" s="11">
        <v>45770.384722222225</v>
      </c>
      <c r="I31" s="20">
        <f t="shared" si="1"/>
        <v>7.7236111111124046</v>
      </c>
      <c r="J31" s="27">
        <v>21.12</v>
      </c>
      <c r="K31" s="51"/>
      <c r="L31" s="54"/>
      <c r="M31" s="33">
        <f t="shared" si="0"/>
        <v>31</v>
      </c>
      <c r="N31" s="36">
        <f t="shared" si="2"/>
        <v>9.9400000000000013</v>
      </c>
      <c r="O31" s="57"/>
      <c r="P31" s="42"/>
      <c r="Q31" s="42"/>
      <c r="R31" s="39"/>
      <c r="S31" s="48"/>
    </row>
    <row r="32" spans="1:19" x14ac:dyDescent="0.35">
      <c r="A32" s="43" t="s">
        <v>53</v>
      </c>
      <c r="B32" s="43" t="s">
        <v>45</v>
      </c>
      <c r="C32" s="16" t="s">
        <v>9</v>
      </c>
      <c r="D32" s="2" t="s">
        <v>54</v>
      </c>
      <c r="E32" s="3">
        <v>12.42</v>
      </c>
      <c r="F32" s="3">
        <v>17.420000000000002</v>
      </c>
      <c r="G32" s="9">
        <v>45762.666666666664</v>
      </c>
      <c r="H32" s="9">
        <v>45770.384027777778</v>
      </c>
      <c r="I32" s="17">
        <f t="shared" si="1"/>
        <v>7.7173611111138598</v>
      </c>
      <c r="J32" s="24">
        <v>15.1</v>
      </c>
      <c r="K32" s="49">
        <v>33</v>
      </c>
      <c r="L32" s="52">
        <f>(20*6.5*K32)*0.001</f>
        <v>4.29</v>
      </c>
      <c r="M32" s="31">
        <f t="shared" si="0"/>
        <v>5.0000000000000018</v>
      </c>
      <c r="N32" s="34">
        <f t="shared" si="2"/>
        <v>2.6799999999999997</v>
      </c>
      <c r="O32" s="55">
        <f t="shared" ref="O32:P32" si="29">SUM(M32:M34)</f>
        <v>96.199999999999989</v>
      </c>
      <c r="P32" s="40">
        <f t="shared" si="29"/>
        <v>18.760000000000002</v>
      </c>
      <c r="Q32" s="40">
        <f t="shared" ref="Q32" si="30">SUM(N33:N34)</f>
        <v>16.080000000000002</v>
      </c>
      <c r="R32" s="37">
        <f t="shared" ref="R32" si="31">Q32/L32</f>
        <v>3.7482517482517488</v>
      </c>
      <c r="S32" s="46">
        <f>(N33+N34)/N32</f>
        <v>6.0000000000000009</v>
      </c>
    </row>
    <row r="33" spans="1:19" x14ac:dyDescent="0.35">
      <c r="A33" s="44"/>
      <c r="B33" s="44"/>
      <c r="C33" s="18" t="s">
        <v>11</v>
      </c>
      <c r="D33" s="4" t="s">
        <v>55</v>
      </c>
      <c r="E33" s="5">
        <v>11.42</v>
      </c>
      <c r="F33" s="5">
        <v>71.64</v>
      </c>
      <c r="G33" s="10">
        <v>45762.666666666664</v>
      </c>
      <c r="H33" s="10">
        <v>45770.384027777778</v>
      </c>
      <c r="I33" s="14">
        <f t="shared" si="1"/>
        <v>7.7173611111138598</v>
      </c>
      <c r="J33" s="25">
        <v>18.100000000000001</v>
      </c>
      <c r="K33" s="50"/>
      <c r="L33" s="53"/>
      <c r="M33" s="32">
        <f t="shared" si="0"/>
        <v>60.22</v>
      </c>
      <c r="N33" s="35">
        <f t="shared" si="2"/>
        <v>6.6800000000000015</v>
      </c>
      <c r="O33" s="56"/>
      <c r="P33" s="41"/>
      <c r="Q33" s="41"/>
      <c r="R33" s="38"/>
      <c r="S33" s="47"/>
    </row>
    <row r="34" spans="1:19" ht="15" thickBot="1" x14ac:dyDescent="0.4">
      <c r="A34" s="58"/>
      <c r="B34" s="58"/>
      <c r="C34" s="19" t="s">
        <v>13</v>
      </c>
      <c r="D34" s="6" t="s">
        <v>56</v>
      </c>
      <c r="E34" s="7">
        <v>12.6</v>
      </c>
      <c r="F34" s="7">
        <v>43.58</v>
      </c>
      <c r="G34" s="11">
        <v>45762.666666666664</v>
      </c>
      <c r="H34" s="11">
        <v>45770.384027777778</v>
      </c>
      <c r="I34" s="20">
        <f t="shared" si="1"/>
        <v>7.7173611111138598</v>
      </c>
      <c r="J34" s="27">
        <v>22</v>
      </c>
      <c r="K34" s="51"/>
      <c r="L34" s="54"/>
      <c r="M34" s="33">
        <f t="shared" si="0"/>
        <v>30.979999999999997</v>
      </c>
      <c r="N34" s="36">
        <f t="shared" si="2"/>
        <v>9.4</v>
      </c>
      <c r="O34" s="57"/>
      <c r="P34" s="42"/>
      <c r="Q34" s="42"/>
      <c r="R34" s="39"/>
      <c r="S34" s="48"/>
    </row>
    <row r="35" spans="1:19" x14ac:dyDescent="0.35">
      <c r="A35" s="43" t="s">
        <v>57</v>
      </c>
      <c r="B35" s="43" t="s">
        <v>45</v>
      </c>
      <c r="C35" s="16" t="s">
        <v>9</v>
      </c>
      <c r="D35" s="2" t="s">
        <v>58</v>
      </c>
      <c r="E35" s="3">
        <v>10.94</v>
      </c>
      <c r="F35" s="3">
        <v>16.34</v>
      </c>
      <c r="G35" s="9">
        <v>45762.666666666664</v>
      </c>
      <c r="H35" s="9">
        <v>45770.382638888892</v>
      </c>
      <c r="I35" s="17">
        <f t="shared" si="1"/>
        <v>7.7159722222277196</v>
      </c>
      <c r="J35" s="24">
        <v>13.9</v>
      </c>
      <c r="K35" s="49">
        <v>35</v>
      </c>
      <c r="L35" s="52">
        <f>(20*6.5*K35)*0.001</f>
        <v>4.55</v>
      </c>
      <c r="M35" s="31">
        <f t="shared" si="0"/>
        <v>5.4</v>
      </c>
      <c r="N35" s="34">
        <f t="shared" si="2"/>
        <v>2.9600000000000009</v>
      </c>
      <c r="O35" s="55">
        <f t="shared" ref="O35:P35" si="32">SUM(M35:M37)</f>
        <v>109.08</v>
      </c>
      <c r="P35" s="40">
        <f t="shared" si="32"/>
        <v>20.660000000000004</v>
      </c>
      <c r="Q35" s="40">
        <f t="shared" ref="Q35" si="33">SUM(N36:N37)</f>
        <v>17.700000000000003</v>
      </c>
      <c r="R35" s="37">
        <f t="shared" ref="R35" si="34">Q35/L35</f>
        <v>3.8901098901098909</v>
      </c>
      <c r="S35" s="46">
        <f>(N36+N37)/N35</f>
        <v>5.9797297297297289</v>
      </c>
    </row>
    <row r="36" spans="1:19" x14ac:dyDescent="0.35">
      <c r="A36" s="44"/>
      <c r="B36" s="44"/>
      <c r="C36" s="18" t="s">
        <v>11</v>
      </c>
      <c r="D36" s="4" t="s">
        <v>59</v>
      </c>
      <c r="E36" s="5">
        <v>11.34</v>
      </c>
      <c r="F36" s="5">
        <v>82.88</v>
      </c>
      <c r="G36" s="10">
        <v>45762.666666666664</v>
      </c>
      <c r="H36" s="10">
        <v>45770.382638888892</v>
      </c>
      <c r="I36" s="14">
        <f t="shared" si="1"/>
        <v>7.7159722222277196</v>
      </c>
      <c r="J36" s="25">
        <v>18.940000000000001</v>
      </c>
      <c r="K36" s="50"/>
      <c r="L36" s="53"/>
      <c r="M36" s="32">
        <f t="shared" si="0"/>
        <v>71.539999999999992</v>
      </c>
      <c r="N36" s="35">
        <f t="shared" si="2"/>
        <v>7.6000000000000014</v>
      </c>
      <c r="O36" s="56"/>
      <c r="P36" s="41"/>
      <c r="Q36" s="41"/>
      <c r="R36" s="38"/>
      <c r="S36" s="47"/>
    </row>
    <row r="37" spans="1:19" ht="15" thickBot="1" x14ac:dyDescent="0.4">
      <c r="A37" s="45"/>
      <c r="B37" s="45"/>
      <c r="C37" s="19" t="s">
        <v>13</v>
      </c>
      <c r="D37" s="6" t="s">
        <v>60</v>
      </c>
      <c r="E37" s="7">
        <v>11.1</v>
      </c>
      <c r="F37" s="7">
        <v>43.24</v>
      </c>
      <c r="G37" s="11">
        <v>45762.666666666664</v>
      </c>
      <c r="H37" s="11">
        <v>45770.382638888892</v>
      </c>
      <c r="I37" s="20">
        <f t="shared" si="1"/>
        <v>7.7159722222277196</v>
      </c>
      <c r="J37" s="27">
        <v>21.2</v>
      </c>
      <c r="K37" s="51"/>
      <c r="L37" s="54"/>
      <c r="M37" s="33">
        <f t="shared" si="0"/>
        <v>32.14</v>
      </c>
      <c r="N37" s="36">
        <f t="shared" si="2"/>
        <v>10.1</v>
      </c>
      <c r="O37" s="57"/>
      <c r="P37" s="42"/>
      <c r="Q37" s="42"/>
      <c r="R37" s="39"/>
      <c r="S37" s="48"/>
    </row>
    <row r="38" spans="1:19" x14ac:dyDescent="0.35">
      <c r="A38" s="43" t="s">
        <v>61</v>
      </c>
      <c r="B38" s="43" t="s">
        <v>45</v>
      </c>
      <c r="C38" s="16" t="s">
        <v>9</v>
      </c>
      <c r="D38" s="2" t="s">
        <v>62</v>
      </c>
      <c r="E38" s="3">
        <v>11.12</v>
      </c>
      <c r="F38" s="3">
        <v>15.36</v>
      </c>
      <c r="G38" s="9">
        <v>45762.661111111112</v>
      </c>
      <c r="H38" s="9">
        <v>45770.381944444445</v>
      </c>
      <c r="I38" s="17">
        <f t="shared" si="1"/>
        <v>7.7208333333328483</v>
      </c>
      <c r="J38" s="24">
        <v>13.92</v>
      </c>
      <c r="K38" s="49">
        <v>34</v>
      </c>
      <c r="L38" s="52">
        <f>(20*6.5*K38)*0.001</f>
        <v>4.42</v>
      </c>
      <c r="M38" s="31">
        <f t="shared" si="0"/>
        <v>4.24</v>
      </c>
      <c r="N38" s="34">
        <f t="shared" si="2"/>
        <v>2.8000000000000007</v>
      </c>
      <c r="O38" s="55">
        <f t="shared" ref="O38:P38" si="35">SUM(M38:M40)</f>
        <v>47.74</v>
      </c>
      <c r="P38" s="40">
        <f t="shared" si="35"/>
        <v>11.8</v>
      </c>
      <c r="Q38" s="40">
        <f t="shared" ref="Q38" si="36">SUM(N39:N40)</f>
        <v>9</v>
      </c>
      <c r="R38" s="37">
        <f t="shared" ref="R38" si="37">Q38/L38</f>
        <v>2.0361990950226243</v>
      </c>
      <c r="S38" s="46">
        <f>(N39+N40)/N38</f>
        <v>3.2142857142857135</v>
      </c>
    </row>
    <row r="39" spans="1:19" x14ac:dyDescent="0.35">
      <c r="A39" s="44"/>
      <c r="B39" s="44"/>
      <c r="C39" s="18" t="s">
        <v>11</v>
      </c>
      <c r="D39" s="4" t="s">
        <v>63</v>
      </c>
      <c r="E39" s="5">
        <v>11.08</v>
      </c>
      <c r="F39" s="5">
        <v>34.22</v>
      </c>
      <c r="G39" s="10">
        <v>45762.661111111112</v>
      </c>
      <c r="H39" s="10">
        <v>45770.381944444445</v>
      </c>
      <c r="I39" s="14">
        <f t="shared" si="1"/>
        <v>7.7208333333328483</v>
      </c>
      <c r="J39" s="25">
        <v>14.26</v>
      </c>
      <c r="K39" s="50"/>
      <c r="L39" s="53"/>
      <c r="M39" s="32">
        <f t="shared" si="0"/>
        <v>23.14</v>
      </c>
      <c r="N39" s="35">
        <f t="shared" si="2"/>
        <v>3.1799999999999997</v>
      </c>
      <c r="O39" s="56"/>
      <c r="P39" s="41"/>
      <c r="Q39" s="41"/>
      <c r="R39" s="38"/>
      <c r="S39" s="47"/>
    </row>
    <row r="40" spans="1:19" ht="15" thickBot="1" x14ac:dyDescent="0.4">
      <c r="A40" s="45"/>
      <c r="B40" s="45"/>
      <c r="C40" s="19" t="s">
        <v>13</v>
      </c>
      <c r="D40" s="6" t="s">
        <v>64</v>
      </c>
      <c r="E40" s="7">
        <v>11.34</v>
      </c>
      <c r="F40" s="7">
        <v>31.7</v>
      </c>
      <c r="G40" s="11">
        <v>45762.661111111112</v>
      </c>
      <c r="H40" s="11">
        <v>45770.381944444445</v>
      </c>
      <c r="I40" s="20">
        <f t="shared" si="1"/>
        <v>7.7208333333328483</v>
      </c>
      <c r="J40" s="27">
        <v>17.16</v>
      </c>
      <c r="K40" s="51"/>
      <c r="L40" s="54"/>
      <c r="M40" s="33">
        <f t="shared" si="0"/>
        <v>20.36</v>
      </c>
      <c r="N40" s="36">
        <f t="shared" si="2"/>
        <v>5.82</v>
      </c>
      <c r="O40" s="57"/>
      <c r="P40" s="42"/>
      <c r="Q40" s="42"/>
      <c r="R40" s="39"/>
      <c r="S40" s="48"/>
    </row>
    <row r="41" spans="1:19" x14ac:dyDescent="0.35">
      <c r="A41" s="43" t="s">
        <v>65</v>
      </c>
      <c r="B41" s="43" t="s">
        <v>45</v>
      </c>
      <c r="C41" s="16" t="s">
        <v>9</v>
      </c>
      <c r="D41" s="2" t="s">
        <v>66</v>
      </c>
      <c r="E41" s="3">
        <v>11.28</v>
      </c>
      <c r="F41" s="3">
        <v>16.84</v>
      </c>
      <c r="G41" s="9">
        <v>45762.661111111112</v>
      </c>
      <c r="H41" s="9">
        <v>45770.380555555559</v>
      </c>
      <c r="I41" s="17">
        <f t="shared" si="1"/>
        <v>7.7194444444467081</v>
      </c>
      <c r="J41" s="24">
        <v>14.24</v>
      </c>
      <c r="K41" s="49">
        <v>33</v>
      </c>
      <c r="L41" s="52">
        <f>(20*6.5*K41)*0.001</f>
        <v>4.29</v>
      </c>
      <c r="M41" s="31">
        <f t="shared" si="0"/>
        <v>5.5600000000000005</v>
      </c>
      <c r="N41" s="34">
        <f t="shared" si="2"/>
        <v>2.9600000000000009</v>
      </c>
      <c r="O41" s="55">
        <f t="shared" ref="O41:P41" si="38">SUM(M41:M43)</f>
        <v>50.94</v>
      </c>
      <c r="P41" s="40">
        <f t="shared" si="38"/>
        <v>12.24</v>
      </c>
      <c r="Q41" s="40">
        <f t="shared" ref="Q41" si="39">SUM(N42:N43)</f>
        <v>9.2799999999999994</v>
      </c>
      <c r="R41" s="37">
        <f t="shared" ref="R41" si="40">Q41/L41</f>
        <v>2.1631701631701632</v>
      </c>
      <c r="S41" s="46">
        <f>(N42+N43)/N41</f>
        <v>3.1351351351351342</v>
      </c>
    </row>
    <row r="42" spans="1:19" x14ac:dyDescent="0.35">
      <c r="A42" s="44"/>
      <c r="B42" s="44"/>
      <c r="C42" s="18" t="s">
        <v>11</v>
      </c>
      <c r="D42" s="4" t="s">
        <v>67</v>
      </c>
      <c r="E42" s="5">
        <v>12.24</v>
      </c>
      <c r="F42" s="5">
        <v>43.86</v>
      </c>
      <c r="G42" s="10">
        <v>45762.661111111112</v>
      </c>
      <c r="H42" s="10">
        <v>45770.380555555559</v>
      </c>
      <c r="I42" s="14">
        <f t="shared" si="1"/>
        <v>7.7194444444467081</v>
      </c>
      <c r="J42" s="25">
        <v>16.940000000000001</v>
      </c>
      <c r="K42" s="50"/>
      <c r="L42" s="53"/>
      <c r="M42" s="32">
        <f t="shared" si="0"/>
        <v>31.619999999999997</v>
      </c>
      <c r="N42" s="35">
        <f t="shared" si="2"/>
        <v>4.7000000000000011</v>
      </c>
      <c r="O42" s="56"/>
      <c r="P42" s="41"/>
      <c r="Q42" s="41"/>
      <c r="R42" s="38"/>
      <c r="S42" s="47"/>
    </row>
    <row r="43" spans="1:19" ht="15" thickBot="1" x14ac:dyDescent="0.4">
      <c r="A43" s="45"/>
      <c r="B43" s="45"/>
      <c r="C43" s="19" t="s">
        <v>13</v>
      </c>
      <c r="D43" s="6" t="s">
        <v>68</v>
      </c>
      <c r="E43" s="7">
        <v>12</v>
      </c>
      <c r="F43" s="7">
        <v>25.76</v>
      </c>
      <c r="G43" s="11">
        <v>45762.661111111112</v>
      </c>
      <c r="H43" s="11">
        <v>45770.380555555559</v>
      </c>
      <c r="I43" s="20">
        <f t="shared" si="1"/>
        <v>7.7194444444467081</v>
      </c>
      <c r="J43" s="27">
        <v>16.579999999999998</v>
      </c>
      <c r="K43" s="51"/>
      <c r="L43" s="54"/>
      <c r="M43" s="33">
        <f t="shared" si="0"/>
        <v>13.760000000000002</v>
      </c>
      <c r="N43" s="36">
        <f t="shared" si="2"/>
        <v>4.5799999999999983</v>
      </c>
      <c r="O43" s="57"/>
      <c r="P43" s="42"/>
      <c r="Q43" s="42"/>
      <c r="R43" s="39"/>
      <c r="S43" s="48"/>
    </row>
    <row r="44" spans="1:19" x14ac:dyDescent="0.35">
      <c r="A44" s="43" t="s">
        <v>69</v>
      </c>
      <c r="B44" s="43" t="s">
        <v>45</v>
      </c>
      <c r="C44" s="16" t="s">
        <v>9</v>
      </c>
      <c r="D44" s="2" t="s">
        <v>70</v>
      </c>
      <c r="E44" s="3">
        <v>12.1</v>
      </c>
      <c r="F44" s="3">
        <v>15.05</v>
      </c>
      <c r="G44" s="9">
        <v>45762.661111111112</v>
      </c>
      <c r="H44" s="9">
        <v>45770.379861111112</v>
      </c>
      <c r="I44" s="17">
        <f t="shared" si="1"/>
        <v>7.71875</v>
      </c>
      <c r="J44" s="24">
        <v>14.04</v>
      </c>
      <c r="K44" s="49">
        <v>33</v>
      </c>
      <c r="L44" s="52">
        <f>(20*6.5*K44)*0.001</f>
        <v>4.29</v>
      </c>
      <c r="M44" s="31">
        <f t="shared" si="0"/>
        <v>2.9500000000000011</v>
      </c>
      <c r="N44" s="34">
        <f t="shared" si="2"/>
        <v>1.9399999999999995</v>
      </c>
      <c r="O44" s="55">
        <f t="shared" ref="O44:P44" si="41">SUM(M44:M46)</f>
        <v>27.25</v>
      </c>
      <c r="P44" s="40">
        <f t="shared" si="41"/>
        <v>7.3999999999999986</v>
      </c>
      <c r="Q44" s="40">
        <f t="shared" ref="Q44" si="42">SUM(N45:N46)</f>
        <v>5.4599999999999991</v>
      </c>
      <c r="R44" s="37">
        <f t="shared" ref="R44" si="43">Q44/L44</f>
        <v>1.2727272727272725</v>
      </c>
      <c r="S44" s="46">
        <f>(N45+N46)/N44</f>
        <v>2.8144329896907219</v>
      </c>
    </row>
    <row r="45" spans="1:19" x14ac:dyDescent="0.35">
      <c r="A45" s="44"/>
      <c r="B45" s="44"/>
      <c r="C45" s="18" t="s">
        <v>11</v>
      </c>
      <c r="D45" s="4" t="s">
        <v>71</v>
      </c>
      <c r="E45" s="5">
        <v>12.1</v>
      </c>
      <c r="F45" s="5">
        <v>27.22</v>
      </c>
      <c r="G45" s="10">
        <v>45762.661111111112</v>
      </c>
      <c r="H45" s="10">
        <v>45770.379861111112</v>
      </c>
      <c r="I45" s="14">
        <f t="shared" si="1"/>
        <v>7.71875</v>
      </c>
      <c r="J45" s="25">
        <v>14.54</v>
      </c>
      <c r="K45" s="50"/>
      <c r="L45" s="53"/>
      <c r="M45" s="32">
        <f t="shared" si="0"/>
        <v>15.12</v>
      </c>
      <c r="N45" s="35">
        <f t="shared" si="2"/>
        <v>2.4399999999999995</v>
      </c>
      <c r="O45" s="56"/>
      <c r="P45" s="41"/>
      <c r="Q45" s="41"/>
      <c r="R45" s="38"/>
      <c r="S45" s="47"/>
    </row>
    <row r="46" spans="1:19" ht="15" thickBot="1" x14ac:dyDescent="0.4">
      <c r="A46" s="45"/>
      <c r="B46" s="45"/>
      <c r="C46" s="19" t="s">
        <v>13</v>
      </c>
      <c r="D46" s="6" t="s">
        <v>72</v>
      </c>
      <c r="E46" s="7">
        <v>12</v>
      </c>
      <c r="F46" s="7">
        <v>21.18</v>
      </c>
      <c r="G46" s="11">
        <v>45762.661111111112</v>
      </c>
      <c r="H46" s="11">
        <v>45770.379861111112</v>
      </c>
      <c r="I46" s="20">
        <f t="shared" si="1"/>
        <v>7.71875</v>
      </c>
      <c r="J46" s="27">
        <v>15.02</v>
      </c>
      <c r="K46" s="51"/>
      <c r="L46" s="54"/>
      <c r="M46" s="33">
        <f t="shared" si="0"/>
        <v>9.18</v>
      </c>
      <c r="N46" s="36">
        <f t="shared" si="2"/>
        <v>3.0199999999999996</v>
      </c>
      <c r="O46" s="57"/>
      <c r="P46" s="42"/>
      <c r="Q46" s="42"/>
      <c r="R46" s="39"/>
      <c r="S46" s="48"/>
    </row>
  </sheetData>
  <mergeCells count="135">
    <mergeCell ref="P35:P37"/>
    <mergeCell ref="P32:P34"/>
    <mergeCell ref="O41:O43"/>
    <mergeCell ref="O38:O40"/>
    <mergeCell ref="O35:O37"/>
    <mergeCell ref="O32:O34"/>
    <mergeCell ref="A44:A46"/>
    <mergeCell ref="B44:B46"/>
    <mergeCell ref="S44:S46"/>
    <mergeCell ref="A38:A40"/>
    <mergeCell ref="B38:B40"/>
    <mergeCell ref="S38:S40"/>
    <mergeCell ref="A41:A43"/>
    <mergeCell ref="B41:B43"/>
    <mergeCell ref="S41:S43"/>
    <mergeCell ref="K44:K46"/>
    <mergeCell ref="K41:K43"/>
    <mergeCell ref="K38:K40"/>
    <mergeCell ref="L44:L46"/>
    <mergeCell ref="L41:L43"/>
    <mergeCell ref="L38:L40"/>
    <mergeCell ref="O44:O46"/>
    <mergeCell ref="P44:P46"/>
    <mergeCell ref="P41:P43"/>
    <mergeCell ref="P38:P40"/>
    <mergeCell ref="K32:K34"/>
    <mergeCell ref="L35:L37"/>
    <mergeCell ref="L32:L34"/>
    <mergeCell ref="A26:A28"/>
    <mergeCell ref="B26:B28"/>
    <mergeCell ref="S26:S28"/>
    <mergeCell ref="A29:A31"/>
    <mergeCell ref="B29:B31"/>
    <mergeCell ref="S29:S31"/>
    <mergeCell ref="K29:K31"/>
    <mergeCell ref="K26:K28"/>
    <mergeCell ref="L29:L31"/>
    <mergeCell ref="L26:L28"/>
    <mergeCell ref="O26:O28"/>
    <mergeCell ref="P29:P31"/>
    <mergeCell ref="P26:P28"/>
    <mergeCell ref="O29:O31"/>
    <mergeCell ref="A32:A34"/>
    <mergeCell ref="B32:B34"/>
    <mergeCell ref="S32:S34"/>
    <mergeCell ref="A35:A37"/>
    <mergeCell ref="B35:B37"/>
    <mergeCell ref="S35:S37"/>
    <mergeCell ref="K35:K37"/>
    <mergeCell ref="A20:A22"/>
    <mergeCell ref="B20:B22"/>
    <mergeCell ref="S20:S22"/>
    <mergeCell ref="A23:A25"/>
    <mergeCell ref="B23:B25"/>
    <mergeCell ref="S23:S25"/>
    <mergeCell ref="K23:K25"/>
    <mergeCell ref="K20:K22"/>
    <mergeCell ref="L23:L25"/>
    <mergeCell ref="L20:L22"/>
    <mergeCell ref="O23:O25"/>
    <mergeCell ref="O20:O22"/>
    <mergeCell ref="P23:P25"/>
    <mergeCell ref="P20:P22"/>
    <mergeCell ref="A14:A16"/>
    <mergeCell ref="B14:B16"/>
    <mergeCell ref="S14:S16"/>
    <mergeCell ref="A17:A19"/>
    <mergeCell ref="B17:B19"/>
    <mergeCell ref="S17:S19"/>
    <mergeCell ref="K17:K19"/>
    <mergeCell ref="K14:K16"/>
    <mergeCell ref="L17:L19"/>
    <mergeCell ref="L14:L16"/>
    <mergeCell ref="O17:O19"/>
    <mergeCell ref="O14:O16"/>
    <mergeCell ref="P17:P19"/>
    <mergeCell ref="P14:P16"/>
    <mergeCell ref="Q17:Q19"/>
    <mergeCell ref="Q14:Q16"/>
    <mergeCell ref="R17:R19"/>
    <mergeCell ref="R14:R16"/>
    <mergeCell ref="A8:A10"/>
    <mergeCell ref="B8:B10"/>
    <mergeCell ref="S8:S10"/>
    <mergeCell ref="A11:A13"/>
    <mergeCell ref="B11:B13"/>
    <mergeCell ref="S11:S13"/>
    <mergeCell ref="K11:K13"/>
    <mergeCell ref="K8:K10"/>
    <mergeCell ref="L11:L13"/>
    <mergeCell ref="L8:L10"/>
    <mergeCell ref="O11:O13"/>
    <mergeCell ref="O8:O10"/>
    <mergeCell ref="P11:P13"/>
    <mergeCell ref="P8:P10"/>
    <mergeCell ref="Q11:Q13"/>
    <mergeCell ref="Q8:Q10"/>
    <mergeCell ref="R11:R13"/>
    <mergeCell ref="R8:R10"/>
    <mergeCell ref="A2:A4"/>
    <mergeCell ref="B2:B4"/>
    <mergeCell ref="S2:S4"/>
    <mergeCell ref="A5:A7"/>
    <mergeCell ref="B5:B7"/>
    <mergeCell ref="S5:S7"/>
    <mergeCell ref="K2:K4"/>
    <mergeCell ref="K5:K7"/>
    <mergeCell ref="L5:L7"/>
    <mergeCell ref="L2:L4"/>
    <mergeCell ref="O2:O4"/>
    <mergeCell ref="O5:O7"/>
    <mergeCell ref="P5:P7"/>
    <mergeCell ref="P2:P4"/>
    <mergeCell ref="Q5:Q7"/>
    <mergeCell ref="Q2:Q4"/>
    <mergeCell ref="R5:R7"/>
    <mergeCell ref="R2:R4"/>
    <mergeCell ref="Q44:Q46"/>
    <mergeCell ref="Q41:Q43"/>
    <mergeCell ref="Q38:Q40"/>
    <mergeCell ref="Q35:Q37"/>
    <mergeCell ref="Q32:Q34"/>
    <mergeCell ref="Q29:Q31"/>
    <mergeCell ref="Q26:Q28"/>
    <mergeCell ref="Q23:Q25"/>
    <mergeCell ref="Q20:Q22"/>
    <mergeCell ref="R44:R46"/>
    <mergeCell ref="R41:R43"/>
    <mergeCell ref="R38:R40"/>
    <mergeCell ref="R35:R37"/>
    <mergeCell ref="R32:R34"/>
    <mergeCell ref="R29:R31"/>
    <mergeCell ref="R26:R28"/>
    <mergeCell ref="R23:R25"/>
    <mergeCell ref="R20:R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Gerfand</dc:creator>
  <cp:lastModifiedBy>GERFAND Benjamin</cp:lastModifiedBy>
  <dcterms:created xsi:type="dcterms:W3CDTF">2015-06-05T18:19:34Z</dcterms:created>
  <dcterms:modified xsi:type="dcterms:W3CDTF">2026-03-30T08:35:37Z</dcterms:modified>
</cp:coreProperties>
</file>