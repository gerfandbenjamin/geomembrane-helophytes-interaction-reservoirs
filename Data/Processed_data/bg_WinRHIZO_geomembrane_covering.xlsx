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èse Gerfand\4 - Rhizotrons hélophytes DEG\Article interaction racines - géomembrane\Soumission\IJGGE\Supplementary material\Data\Processed_data\"/>
    </mc:Choice>
  </mc:AlternateContent>
  <xr:revisionPtr revIDLastSave="0" documentId="13_ncr:1_{24646E70-C865-43CF-82C0-769BED9BC0C8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3" i="1"/>
  <c r="H3" i="1" s="1"/>
</calcChain>
</file>

<file path=xl/sharedStrings.xml><?xml version="1.0" encoding="utf-8"?>
<sst xmlns="http://schemas.openxmlformats.org/spreadsheetml/2006/main" count="39" uniqueCount="27">
  <si>
    <t>Espèce</t>
  </si>
  <si>
    <t>date</t>
  </si>
  <si>
    <t>Eriophorum angustifolium</t>
  </si>
  <si>
    <t>E1</t>
  </si>
  <si>
    <t>E2</t>
  </si>
  <si>
    <t>E3</t>
  </si>
  <si>
    <t>E4</t>
  </si>
  <si>
    <t>E5</t>
  </si>
  <si>
    <t>E6</t>
  </si>
  <si>
    <t>E7</t>
  </si>
  <si>
    <t>E8</t>
  </si>
  <si>
    <t>Phragmites australis</t>
  </si>
  <si>
    <t>P1</t>
  </si>
  <si>
    <t>P2</t>
  </si>
  <si>
    <t>P3</t>
  </si>
  <si>
    <t>P4</t>
  </si>
  <si>
    <t>P6</t>
  </si>
  <si>
    <t>P7</t>
  </si>
  <si>
    <t>P8</t>
  </si>
  <si>
    <t>Carex nigra</t>
  </si>
  <si>
    <t>diametre moyen (mm)</t>
  </si>
  <si>
    <t>longueur totale (cm)</t>
  </si>
  <si>
    <t>rhizotron</t>
  </si>
  <si>
    <t>Surface recouverte (cm2)</t>
  </si>
  <si>
    <t>Section DEG (cm2)</t>
  </si>
  <si>
    <t>Helophyte belowground structures covering the geomembrane</t>
  </si>
  <si>
    <t>Recouvrement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</si>
</sst>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0" fillId="0" borderId="3" xfId="0" applyBorder="1"/>
    <xf numFmtId="14" fontId="0" fillId="0" borderId="0" xfId="0" applyNumberFormat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/>
    <xf numFmtId="2" fontId="0" fillId="0" borderId="0" xfId="0" applyNumberFormat="1" applyBorder="1"/>
    <xf numFmtId="0" fontId="0" fillId="0" borderId="1" xfId="0" applyBorder="1"/>
    <xf numFmtId="0" fontId="0" fillId="0" borderId="2" xfId="0" applyFill="1" applyBorder="1"/>
    <xf numFmtId="2" fontId="0" fillId="0" borderId="2" xfId="0" applyNumberFormat="1" applyBorder="1"/>
    <xf numFmtId="2" fontId="0" fillId="0" borderId="6" xfId="0" applyNumberFormat="1" applyBorder="1"/>
    <xf numFmtId="0" fontId="0" fillId="0" borderId="2" xfId="0" applyBorder="1"/>
    <xf numFmtId="2" fontId="0" fillId="0" borderId="11" xfId="0" applyNumberFormat="1" applyBorder="1"/>
    <xf numFmtId="2" fontId="0" fillId="0" borderId="4" xfId="0" applyNumberFormat="1" applyBorder="1"/>
    <xf numFmtId="2" fontId="0" fillId="0" borderId="7" xfId="0" applyNumberFormat="1" applyBorder="1"/>
    <xf numFmtId="0" fontId="0" fillId="0" borderId="7" xfId="0" applyFill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xSplit="3" topLeftCell="D1" activePane="topRight" state="frozen"/>
      <selection pane="topRight" activeCell="J10" sqref="J10"/>
    </sheetView>
  </sheetViews>
  <sheetFormatPr baseColWidth="10" defaultColWidth="8.7265625" defaultRowHeight="14.5" x14ac:dyDescent="0.35"/>
  <cols>
    <col min="1" max="1" width="23.26953125" bestFit="1" customWidth="1"/>
    <col min="2" max="2" width="10.453125" bestFit="1" customWidth="1"/>
    <col min="3" max="3" width="8.7265625" bestFit="1" customWidth="1"/>
    <col min="4" max="4" width="18.453125" customWidth="1"/>
    <col min="5" max="5" width="20.26953125" bestFit="1" customWidth="1"/>
    <col min="6" max="6" width="23.453125" bestFit="1" customWidth="1"/>
    <col min="7" max="7" width="17.1796875" bestFit="1" customWidth="1"/>
    <col min="8" max="8" width="16.7265625" bestFit="1" customWidth="1"/>
  </cols>
  <sheetData>
    <row r="1" spans="1:8" ht="15" thickBot="1" x14ac:dyDescent="0.4">
      <c r="A1" s="20" t="s">
        <v>0</v>
      </c>
      <c r="B1" s="22" t="s">
        <v>1</v>
      </c>
      <c r="C1" s="22" t="s">
        <v>22</v>
      </c>
      <c r="D1" s="24" t="s">
        <v>25</v>
      </c>
      <c r="E1" s="25"/>
      <c r="F1" s="25"/>
      <c r="G1" s="25"/>
      <c r="H1" s="26"/>
    </row>
    <row r="2" spans="1:8" ht="15" thickBot="1" x14ac:dyDescent="0.4">
      <c r="A2" s="21"/>
      <c r="B2" s="23"/>
      <c r="C2" s="23"/>
      <c r="D2" s="4" t="s">
        <v>21</v>
      </c>
      <c r="E2" s="5" t="s">
        <v>20</v>
      </c>
      <c r="F2" s="5" t="s">
        <v>23</v>
      </c>
      <c r="G2" s="5" t="s">
        <v>24</v>
      </c>
      <c r="H2" s="19" t="s">
        <v>26</v>
      </c>
    </row>
    <row r="3" spans="1:8" x14ac:dyDescent="0.35">
      <c r="A3" s="2" t="s">
        <v>2</v>
      </c>
      <c r="B3" s="3">
        <v>45762</v>
      </c>
      <c r="C3" s="7" t="s">
        <v>3</v>
      </c>
      <c r="D3" s="11">
        <v>751.58199999999999</v>
      </c>
      <c r="E3" s="12">
        <v>0.79500000000000004</v>
      </c>
      <c r="F3" s="13">
        <f>D3*(E3*0.1)</f>
        <v>59.750769000000012</v>
      </c>
      <c r="G3" s="15">
        <v>130</v>
      </c>
      <c r="H3" s="16">
        <f>(F3/G3)*100</f>
        <v>45.962130000000009</v>
      </c>
    </row>
    <row r="4" spans="1:8" x14ac:dyDescent="0.35">
      <c r="A4" s="2" t="s">
        <v>19</v>
      </c>
      <c r="B4" s="3">
        <v>45762</v>
      </c>
      <c r="C4" s="7" t="s">
        <v>4</v>
      </c>
      <c r="D4" s="2">
        <v>58.993000000000002</v>
      </c>
      <c r="E4" s="9">
        <v>0.40899999999999997</v>
      </c>
      <c r="F4" s="10">
        <f t="shared" ref="F4:F17" si="0">D4*(E4*0.1)</f>
        <v>2.4128137000000001</v>
      </c>
      <c r="G4" s="1">
        <v>130</v>
      </c>
      <c r="H4" s="17">
        <f t="shared" ref="H4:H17" si="1">(F4/G4)*100</f>
        <v>1.8560105384615384</v>
      </c>
    </row>
    <row r="5" spans="1:8" x14ac:dyDescent="0.35">
      <c r="A5" s="2" t="s">
        <v>19</v>
      </c>
      <c r="B5" s="3">
        <v>45762</v>
      </c>
      <c r="C5" s="7" t="s">
        <v>5</v>
      </c>
      <c r="D5" s="2">
        <v>71.623999999999995</v>
      </c>
      <c r="E5" s="9">
        <v>0.317</v>
      </c>
      <c r="F5" s="10">
        <f t="shared" si="0"/>
        <v>2.2704807999999996</v>
      </c>
      <c r="G5" s="1">
        <v>130</v>
      </c>
      <c r="H5" s="17">
        <f t="shared" si="1"/>
        <v>1.7465236923076919</v>
      </c>
    </row>
    <row r="6" spans="1:8" x14ac:dyDescent="0.35">
      <c r="A6" s="2" t="s">
        <v>2</v>
      </c>
      <c r="B6" s="3">
        <v>45762</v>
      </c>
      <c r="C6" s="7" t="s">
        <v>6</v>
      </c>
      <c r="D6" s="2">
        <v>731</v>
      </c>
      <c r="E6" s="9">
        <v>0.58599999999999997</v>
      </c>
      <c r="F6" s="10">
        <f t="shared" si="0"/>
        <v>42.836599999999997</v>
      </c>
      <c r="G6" s="1">
        <v>130</v>
      </c>
      <c r="H6" s="17">
        <f t="shared" si="1"/>
        <v>32.951230769230769</v>
      </c>
    </row>
    <row r="7" spans="1:8" x14ac:dyDescent="0.35">
      <c r="A7" s="2" t="s">
        <v>2</v>
      </c>
      <c r="B7" s="3">
        <v>45762</v>
      </c>
      <c r="C7" s="7" t="s">
        <v>7</v>
      </c>
      <c r="D7" s="2">
        <v>768.22500000000002</v>
      </c>
      <c r="E7" s="9">
        <v>0.89500000000000002</v>
      </c>
      <c r="F7" s="10">
        <f t="shared" si="0"/>
        <v>68.756137500000008</v>
      </c>
      <c r="G7" s="1">
        <v>130</v>
      </c>
      <c r="H7" s="17">
        <f t="shared" si="1"/>
        <v>52.889336538461542</v>
      </c>
    </row>
    <row r="8" spans="1:8" x14ac:dyDescent="0.35">
      <c r="A8" s="2" t="s">
        <v>2</v>
      </c>
      <c r="B8" s="3">
        <v>45762</v>
      </c>
      <c r="C8" s="7" t="s">
        <v>8</v>
      </c>
      <c r="D8" s="2">
        <v>505.45299999999997</v>
      </c>
      <c r="E8" s="9">
        <v>0.81599999999999995</v>
      </c>
      <c r="F8" s="10">
        <f t="shared" si="0"/>
        <v>41.244964799999998</v>
      </c>
      <c r="G8" s="1">
        <v>130</v>
      </c>
      <c r="H8" s="17">
        <f t="shared" si="1"/>
        <v>31.726896</v>
      </c>
    </row>
    <row r="9" spans="1:8" x14ac:dyDescent="0.35">
      <c r="A9" s="2" t="s">
        <v>19</v>
      </c>
      <c r="B9" s="3">
        <v>45762</v>
      </c>
      <c r="C9" s="7" t="s">
        <v>9</v>
      </c>
      <c r="D9" s="2">
        <v>74.265000000000001</v>
      </c>
      <c r="E9" s="9">
        <v>0.54100000000000004</v>
      </c>
      <c r="F9" s="10">
        <f t="shared" si="0"/>
        <v>4.0177365000000007</v>
      </c>
      <c r="G9" s="1">
        <v>130</v>
      </c>
      <c r="H9" s="17">
        <f t="shared" si="1"/>
        <v>3.0905665384615388</v>
      </c>
    </row>
    <row r="10" spans="1:8" x14ac:dyDescent="0.35">
      <c r="A10" s="2" t="s">
        <v>2</v>
      </c>
      <c r="B10" s="3">
        <v>45762</v>
      </c>
      <c r="C10" s="7" t="s">
        <v>10</v>
      </c>
      <c r="D10" s="2">
        <v>731.21299999999997</v>
      </c>
      <c r="E10" s="9">
        <v>0.73599999999999999</v>
      </c>
      <c r="F10" s="10">
        <f t="shared" si="0"/>
        <v>53.817276799999995</v>
      </c>
      <c r="G10" s="1">
        <v>130</v>
      </c>
      <c r="H10" s="17">
        <f t="shared" si="1"/>
        <v>41.397905230769226</v>
      </c>
    </row>
    <row r="11" spans="1:8" x14ac:dyDescent="0.35">
      <c r="A11" s="2" t="s">
        <v>11</v>
      </c>
      <c r="B11" s="3">
        <v>45762</v>
      </c>
      <c r="C11" s="7" t="s">
        <v>12</v>
      </c>
      <c r="D11" s="2">
        <v>1047.4570000000001</v>
      </c>
      <c r="E11" s="9">
        <v>0.92300000000000004</v>
      </c>
      <c r="F11" s="10">
        <f t="shared" si="0"/>
        <v>96.680281100000016</v>
      </c>
      <c r="G11" s="1">
        <v>130</v>
      </c>
      <c r="H11" s="17">
        <f t="shared" si="1"/>
        <v>74.369447000000008</v>
      </c>
    </row>
    <row r="12" spans="1:8" x14ac:dyDescent="0.35">
      <c r="A12" s="2" t="s">
        <v>11</v>
      </c>
      <c r="B12" s="3">
        <v>45762</v>
      </c>
      <c r="C12" s="7" t="s">
        <v>13</v>
      </c>
      <c r="D12" s="2">
        <v>1062.501</v>
      </c>
      <c r="E12" s="9">
        <v>0.752</v>
      </c>
      <c r="F12" s="10">
        <f t="shared" si="0"/>
        <v>79.900075200000003</v>
      </c>
      <c r="G12" s="1">
        <v>130</v>
      </c>
      <c r="H12" s="17">
        <f t="shared" si="1"/>
        <v>61.461596307692311</v>
      </c>
    </row>
    <row r="13" spans="1:8" x14ac:dyDescent="0.35">
      <c r="A13" s="2" t="s">
        <v>11</v>
      </c>
      <c r="B13" s="3">
        <v>45762</v>
      </c>
      <c r="C13" s="7" t="s">
        <v>14</v>
      </c>
      <c r="D13" s="2">
        <v>1525.886</v>
      </c>
      <c r="E13" s="9">
        <v>0.622</v>
      </c>
      <c r="F13" s="10">
        <f t="shared" si="0"/>
        <v>94.910109200000008</v>
      </c>
      <c r="G13" s="1">
        <v>130</v>
      </c>
      <c r="H13" s="17">
        <f t="shared" si="1"/>
        <v>73.007776307692325</v>
      </c>
    </row>
    <row r="14" spans="1:8" x14ac:dyDescent="0.35">
      <c r="A14" s="2" t="s">
        <v>11</v>
      </c>
      <c r="B14" s="3">
        <v>45762</v>
      </c>
      <c r="C14" s="7" t="s">
        <v>15</v>
      </c>
      <c r="D14" s="2">
        <v>1087.94</v>
      </c>
      <c r="E14" s="9">
        <v>0.79</v>
      </c>
      <c r="F14" s="10">
        <f t="shared" si="0"/>
        <v>85.947260000000014</v>
      </c>
      <c r="G14" s="1">
        <v>130</v>
      </c>
      <c r="H14" s="17">
        <f t="shared" si="1"/>
        <v>66.113276923076938</v>
      </c>
    </row>
    <row r="15" spans="1:8" x14ac:dyDescent="0.35">
      <c r="A15" s="2" t="s">
        <v>11</v>
      </c>
      <c r="B15" s="3">
        <v>45762</v>
      </c>
      <c r="C15" s="7" t="s">
        <v>16</v>
      </c>
      <c r="D15" s="2">
        <v>895.40200000000004</v>
      </c>
      <c r="E15" s="9">
        <v>0.59</v>
      </c>
      <c r="F15" s="10">
        <f t="shared" si="0"/>
        <v>52.828718000000002</v>
      </c>
      <c r="G15" s="1">
        <v>130</v>
      </c>
      <c r="H15" s="17">
        <f t="shared" si="1"/>
        <v>40.637475384615385</v>
      </c>
    </row>
    <row r="16" spans="1:8" x14ac:dyDescent="0.35">
      <c r="A16" s="2" t="s">
        <v>11</v>
      </c>
      <c r="B16" s="3">
        <v>45762</v>
      </c>
      <c r="C16" s="7" t="s">
        <v>17</v>
      </c>
      <c r="D16" s="2">
        <v>848.44100000000003</v>
      </c>
      <c r="E16" s="9">
        <v>0.72699999999999998</v>
      </c>
      <c r="F16" s="10">
        <f t="shared" si="0"/>
        <v>61.681660700000002</v>
      </c>
      <c r="G16" s="1">
        <v>130</v>
      </c>
      <c r="H16" s="17">
        <f t="shared" si="1"/>
        <v>47.447431307692312</v>
      </c>
    </row>
    <row r="17" spans="1:8" ht="15" thickBot="1" x14ac:dyDescent="0.4">
      <c r="A17" s="4" t="s">
        <v>11</v>
      </c>
      <c r="B17" s="6">
        <v>45762</v>
      </c>
      <c r="C17" s="8" t="s">
        <v>18</v>
      </c>
      <c r="D17" s="4">
        <v>961.94500000000005</v>
      </c>
      <c r="E17" s="5">
        <v>0.78300000000000003</v>
      </c>
      <c r="F17" s="14">
        <f t="shared" si="0"/>
        <v>75.320293500000005</v>
      </c>
      <c r="G17" s="5">
        <v>130</v>
      </c>
      <c r="H17" s="18">
        <f t="shared" si="1"/>
        <v>57.938687307692319</v>
      </c>
    </row>
  </sheetData>
  <mergeCells count="4">
    <mergeCell ref="A1:A2"/>
    <mergeCell ref="C1:C2"/>
    <mergeCell ref="B1:B2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2026-03-30T08:30:35Z</dcterms:modified>
</cp:coreProperties>
</file>