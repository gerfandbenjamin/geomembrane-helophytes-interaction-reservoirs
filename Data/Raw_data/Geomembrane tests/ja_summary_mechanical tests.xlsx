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ssais Aix 0525\TU\"/>
    </mc:Choice>
  </mc:AlternateContent>
  <bookViews>
    <workbookView xWindow="0" yWindow="0" windowWidth="14370" windowHeight="15360" activeTab="1"/>
  </bookViews>
  <sheets>
    <sheet name="PS" sheetId="1" r:id="rId1"/>
    <sheet name="TU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3" l="1"/>
  <c r="F41" i="3"/>
  <c r="G30" i="3"/>
  <c r="F30" i="3"/>
  <c r="G19" i="3"/>
  <c r="F19" i="3"/>
  <c r="K38" i="1" l="1"/>
  <c r="J38" i="1"/>
  <c r="K37" i="1"/>
  <c r="J37" i="1"/>
  <c r="O22" i="1"/>
  <c r="N22" i="1"/>
  <c r="O21" i="1"/>
  <c r="N21" i="1"/>
  <c r="S30" i="1"/>
  <c r="R30" i="1"/>
  <c r="S29" i="1"/>
  <c r="R29" i="1"/>
  <c r="O30" i="1"/>
  <c r="N30" i="1"/>
  <c r="O29" i="1"/>
  <c r="N29" i="1"/>
  <c r="K30" i="1"/>
  <c r="J30" i="1"/>
  <c r="K29" i="1"/>
  <c r="J29" i="1"/>
  <c r="K22" i="1"/>
  <c r="J22" i="1"/>
  <c r="K21" i="1"/>
  <c r="J21" i="1"/>
  <c r="G46" i="1"/>
  <c r="F46" i="1"/>
  <c r="G45" i="1"/>
  <c r="F45" i="1"/>
  <c r="G38" i="1"/>
  <c r="F38" i="1"/>
  <c r="G37" i="1"/>
  <c r="F37" i="1"/>
  <c r="G30" i="1"/>
  <c r="F30" i="1"/>
  <c r="G29" i="1"/>
  <c r="F29" i="1"/>
  <c r="C46" i="1"/>
  <c r="B46" i="1"/>
  <c r="C45" i="1"/>
  <c r="B45" i="1"/>
  <c r="C38" i="1"/>
  <c r="B38" i="1"/>
  <c r="C37" i="1"/>
  <c r="B37" i="1"/>
  <c r="C30" i="1"/>
  <c r="B30" i="1"/>
  <c r="C29" i="1"/>
  <c r="B29" i="1"/>
  <c r="C22" i="1"/>
  <c r="B22" i="1"/>
  <c r="C21" i="1"/>
  <c r="B21" i="1"/>
  <c r="G22" i="1"/>
  <c r="F22" i="1"/>
  <c r="G21" i="1"/>
  <c r="F21" i="1"/>
  <c r="G14" i="1"/>
  <c r="F14" i="1"/>
  <c r="G13" i="1"/>
  <c r="F13" i="1"/>
  <c r="G8" i="3" l="1"/>
  <c r="F8" i="3"/>
  <c r="C8" i="3" l="1"/>
  <c r="B8" i="3"/>
  <c r="C52" i="3"/>
  <c r="B52" i="3"/>
  <c r="C41" i="3"/>
  <c r="B41" i="3"/>
  <c r="C30" i="3"/>
  <c r="B30" i="3"/>
  <c r="C19" i="3"/>
  <c r="B19" i="3"/>
</calcChain>
</file>

<file path=xl/sharedStrings.xml><?xml version="1.0" encoding="utf-8"?>
<sst xmlns="http://schemas.openxmlformats.org/spreadsheetml/2006/main" count="234" uniqueCount="50">
  <si>
    <t>Géomembrane neuve</t>
  </si>
  <si>
    <t>Force (N)</t>
  </si>
  <si>
    <t>Enfoncement (mm)</t>
  </si>
  <si>
    <t>F1 (N)</t>
  </si>
  <si>
    <t>F2 (N)</t>
  </si>
  <si>
    <t>F3 (N)</t>
  </si>
  <si>
    <t>F4 (N)</t>
  </si>
  <si>
    <t>F5 (N)</t>
  </si>
  <si>
    <t>F6 (N)</t>
  </si>
  <si>
    <t>F7 (N)</t>
  </si>
  <si>
    <t>F8 (N)</t>
  </si>
  <si>
    <t>F9 (N)</t>
  </si>
  <si>
    <t>F10 (N)</t>
  </si>
  <si>
    <t>Fmax moy (N) =</t>
  </si>
  <si>
    <t xml:space="preserve">Ecart-type F (N) = </t>
  </si>
  <si>
    <t>Géomembrane E2</t>
  </si>
  <si>
    <t>Géomembrane E1</t>
  </si>
  <si>
    <t>Allongement à Fmax (mm)</t>
  </si>
  <si>
    <t>Géomembrane E4</t>
  </si>
  <si>
    <t>moy (N) =</t>
  </si>
  <si>
    <t>NA</t>
  </si>
  <si>
    <t>(2024)</t>
  </si>
  <si>
    <t>(2025)</t>
  </si>
  <si>
    <t>24011 PS</t>
  </si>
  <si>
    <t>24011-2 PS</t>
  </si>
  <si>
    <t>T1 PS</t>
  </si>
  <si>
    <t>E1 PS</t>
  </si>
  <si>
    <t>E2 PS</t>
  </si>
  <si>
    <t>Géomembrane T</t>
  </si>
  <si>
    <t>Géomembrane P</t>
  </si>
  <si>
    <t>Géomembrane E</t>
  </si>
  <si>
    <t>P1 PS</t>
  </si>
  <si>
    <t>T2 PS</t>
  </si>
  <si>
    <t>T3 PS</t>
  </si>
  <si>
    <t>P2 PS</t>
  </si>
  <si>
    <t>P6 PS</t>
  </si>
  <si>
    <t>P4 PS</t>
  </si>
  <si>
    <t>P8 PS</t>
  </si>
  <si>
    <t>T4 PS</t>
  </si>
  <si>
    <t>E5 PS</t>
  </si>
  <si>
    <t>E8 PS</t>
  </si>
  <si>
    <t>E7 PS</t>
  </si>
  <si>
    <t>T5 TU</t>
  </si>
  <si>
    <t>Géomembrane</t>
  </si>
  <si>
    <t>T6 TU</t>
  </si>
  <si>
    <t>E6 TU</t>
  </si>
  <si>
    <t>E3 TU</t>
  </si>
  <si>
    <t>P3 TU</t>
  </si>
  <si>
    <t>P7 TU</t>
  </si>
  <si>
    <t>E4 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</si>
</sst>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 applyFont="1" applyFill="1" applyBorder="1" applyAlignment="1">
      <alignment vertical="center"/>
    </xf>
    <xf numFmtId="0" fontId="1" fillId="0" borderId="1" xfId="1" applyFont="1" applyFill="1" applyBorder="1" applyAlignment="1">
      <alignment horizontal="center" vertical="center"/>
    </xf>
    <xf numFmtId="164" fontId="1" fillId="0" borderId="2" xfId="1" applyNumberFormat="1" applyFont="1" applyFill="1" applyBorder="1" applyAlignment="1" applyProtection="1">
      <alignment horizontal="center" vertical="center"/>
    </xf>
    <xf numFmtId="0" fontId="1" fillId="0" borderId="0" xfId="1" applyFont="1" applyFill="1" applyBorder="1" applyAlignment="1" applyProtection="1">
      <alignment horizontal="right" vertical="center"/>
    </xf>
    <xf numFmtId="1" fontId="1" fillId="2" borderId="3" xfId="1" applyNumberFormat="1" applyFont="1" applyFill="1" applyBorder="1" applyAlignment="1" applyProtection="1">
      <alignment horizontal="center" vertical="center"/>
    </xf>
    <xf numFmtId="2" fontId="1" fillId="2" borderId="4" xfId="1" applyNumberFormat="1" applyFont="1" applyFill="1" applyBorder="1" applyAlignment="1" applyProtection="1">
      <alignment horizontal="center" vertical="center"/>
    </xf>
    <xf numFmtId="164" fontId="1" fillId="0" borderId="0" xfId="1" applyNumberFormat="1" applyFont="1" applyFill="1" applyBorder="1" applyAlignment="1" applyProtection="1">
      <alignment vertical="center"/>
    </xf>
    <xf numFmtId="2" fontId="1" fillId="2" borderId="3" xfId="1" applyNumberFormat="1" applyFont="1" applyFill="1" applyBorder="1" applyAlignment="1" applyProtection="1">
      <alignment horizontal="center" vertical="center"/>
    </xf>
    <xf numFmtId="1" fontId="1" fillId="2" borderId="5" xfId="1" applyNumberFormat="1" applyFont="1" applyFill="1" applyBorder="1" applyAlignment="1" applyProtection="1">
      <alignment horizontal="center"/>
    </xf>
    <xf numFmtId="2" fontId="1" fillId="2" borderId="6" xfId="1" applyNumberFormat="1" applyFont="1" applyFill="1" applyBorder="1" applyAlignment="1" applyProtection="1">
      <alignment horizontal="center"/>
    </xf>
    <xf numFmtId="2" fontId="1" fillId="2" borderId="5" xfId="1" applyNumberFormat="1" applyFont="1" applyFill="1" applyBorder="1" applyAlignment="1" applyProtection="1">
      <alignment horizontal="center"/>
    </xf>
    <xf numFmtId="1" fontId="1" fillId="2" borderId="7" xfId="1" applyNumberFormat="1" applyFont="1" applyFill="1" applyBorder="1" applyAlignment="1" applyProtection="1">
      <alignment horizontal="center"/>
    </xf>
    <xf numFmtId="2" fontId="1" fillId="2" borderId="7" xfId="1" applyNumberFormat="1" applyFont="1" applyFill="1" applyBorder="1" applyAlignment="1" applyProtection="1">
      <alignment horizontal="center"/>
    </xf>
    <xf numFmtId="0" fontId="1" fillId="0" borderId="0" xfId="1" applyFont="1" applyFill="1" applyBorder="1" applyAlignment="1" applyProtection="1">
      <alignment vertical="center"/>
    </xf>
    <xf numFmtId="165" fontId="1" fillId="2" borderId="6" xfId="1" applyNumberFormat="1" applyFont="1" applyFill="1" applyBorder="1" applyAlignment="1" applyProtection="1">
      <alignment horizontal="center" vertical="center"/>
    </xf>
    <xf numFmtId="164" fontId="1" fillId="0" borderId="0" xfId="1" applyNumberFormat="1" applyFont="1" applyFill="1" applyBorder="1" applyAlignment="1">
      <alignment horizontal="center" vertical="center"/>
    </xf>
    <xf numFmtId="0" fontId="1" fillId="0" borderId="0" xfId="1" applyFont="1" applyFill="1" applyBorder="1" applyAlignment="1" applyProtection="1">
      <alignment horizontal="center" vertical="center"/>
    </xf>
    <xf numFmtId="2" fontId="1" fillId="0" borderId="0" xfId="1" applyNumberFormat="1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1" applyFont="1" applyFill="1" applyBorder="1" applyAlignment="1" applyProtection="1">
      <alignment horizontal="right" vertical="center"/>
    </xf>
    <xf numFmtId="165" fontId="4" fillId="2" borderId="8" xfId="1" applyNumberFormat="1" applyFont="1" applyFill="1" applyBorder="1" applyAlignment="1" applyProtection="1">
      <alignment horizontal="center" vertical="center"/>
    </xf>
    <xf numFmtId="0" fontId="4" fillId="0" borderId="0" xfId="1" applyFont="1" applyFill="1" applyBorder="1" applyAlignment="1" applyProtection="1">
      <alignment vertical="center"/>
    </xf>
    <xf numFmtId="0" fontId="5" fillId="0" borderId="0" xfId="0" quotePrefix="1" applyFont="1"/>
    <xf numFmtId="2" fontId="0" fillId="0" borderId="0" xfId="0" applyNumberFormat="1"/>
  </cellXfs>
  <cellStyles count="2">
    <cellStyle name="Normal" xfId="0" builtinId="0"/>
    <cellStyle name="Normal_POIN-GMB 03-01-200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zoomScale="55" zoomScaleNormal="55" workbookViewId="0">
      <selection activeCell="J44" sqref="J44"/>
    </sheetView>
  </sheetViews>
  <sheetFormatPr baseColWidth="10" defaultRowHeight="15" x14ac:dyDescent="0.25"/>
  <cols>
    <col min="1" max="3" width="16.5703125" customWidth="1"/>
    <col min="4" max="4" width="4.85546875" customWidth="1"/>
    <col min="5" max="7" width="16.5703125" customWidth="1"/>
    <col min="8" max="8" width="4.85546875" customWidth="1"/>
    <col min="9" max="11" width="16.5703125" customWidth="1"/>
    <col min="12" max="12" width="4.85546875" customWidth="1"/>
    <col min="13" max="15" width="16.5703125" customWidth="1"/>
    <col min="16" max="16" width="4.85546875" customWidth="1"/>
    <col min="17" max="19" width="16.5703125" customWidth="1"/>
  </cols>
  <sheetData>
    <row r="1" spans="1:15" ht="21.75" thickBot="1" x14ac:dyDescent="0.4">
      <c r="A1" s="20" t="s">
        <v>0</v>
      </c>
      <c r="C1" t="s">
        <v>23</v>
      </c>
      <c r="G1" t="s">
        <v>24</v>
      </c>
    </row>
    <row r="2" spans="1:15" ht="15.75" thickBot="1" x14ac:dyDescent="0.3">
      <c r="A2" s="1"/>
      <c r="B2" s="2" t="s">
        <v>1</v>
      </c>
      <c r="C2" s="2" t="s">
        <v>2</v>
      </c>
      <c r="E2" s="1"/>
      <c r="F2" s="2" t="s">
        <v>1</v>
      </c>
      <c r="G2" s="2" t="s">
        <v>2</v>
      </c>
    </row>
    <row r="3" spans="1:15" x14ac:dyDescent="0.25">
      <c r="A3" s="4" t="s">
        <v>3</v>
      </c>
      <c r="B3" s="5">
        <v>336.23</v>
      </c>
      <c r="C3" s="8">
        <v>21.748899999999999</v>
      </c>
      <c r="E3" s="4" t="s">
        <v>3</v>
      </c>
      <c r="F3" s="5">
        <v>338.17</v>
      </c>
      <c r="G3" s="8">
        <v>21.400300000000001</v>
      </c>
    </row>
    <row r="4" spans="1:15" x14ac:dyDescent="0.25">
      <c r="A4" s="4" t="s">
        <v>4</v>
      </c>
      <c r="B4" s="9">
        <v>327.57</v>
      </c>
      <c r="C4" s="11">
        <v>21.436200000000003</v>
      </c>
      <c r="E4" s="4" t="s">
        <v>4</v>
      </c>
      <c r="F4" s="9">
        <v>330.92</v>
      </c>
      <c r="G4" s="11">
        <v>21.321399999999997</v>
      </c>
    </row>
    <row r="5" spans="1:15" x14ac:dyDescent="0.25">
      <c r="A5" s="4" t="s">
        <v>5</v>
      </c>
      <c r="B5" s="9">
        <v>336.87</v>
      </c>
      <c r="C5" s="11">
        <v>21.650499999999997</v>
      </c>
      <c r="E5" s="4" t="s">
        <v>5</v>
      </c>
      <c r="F5" s="9">
        <v>329.09</v>
      </c>
      <c r="G5" s="11">
        <v>21.244600000000002</v>
      </c>
    </row>
    <row r="6" spans="1:15" x14ac:dyDescent="0.25">
      <c r="A6" s="4" t="s">
        <v>6</v>
      </c>
      <c r="B6" s="9">
        <v>335.88</v>
      </c>
      <c r="C6" s="11">
        <v>21.712499999999999</v>
      </c>
      <c r="E6" s="4" t="s">
        <v>6</v>
      </c>
      <c r="F6" s="9">
        <v>329.66</v>
      </c>
      <c r="G6" s="11">
        <v>21.329800000000002</v>
      </c>
    </row>
    <row r="7" spans="1:15" x14ac:dyDescent="0.25">
      <c r="A7" s="4" t="s">
        <v>7</v>
      </c>
      <c r="B7" s="9">
        <v>328.37</v>
      </c>
      <c r="C7" s="11">
        <v>21.418199999999999</v>
      </c>
      <c r="E7" s="4" t="s">
        <v>7</v>
      </c>
      <c r="F7" s="9">
        <v>328.59</v>
      </c>
      <c r="G7" s="11">
        <v>21.317400000000003</v>
      </c>
    </row>
    <row r="8" spans="1:15" x14ac:dyDescent="0.25">
      <c r="A8" s="4" t="s">
        <v>8</v>
      </c>
      <c r="B8" s="9">
        <v>333.94</v>
      </c>
      <c r="C8" s="11">
        <v>21.523199999999999</v>
      </c>
      <c r="E8" s="4" t="s">
        <v>8</v>
      </c>
      <c r="F8" s="9">
        <v>313.10000000000002</v>
      </c>
      <c r="G8" s="11">
        <v>20.7621</v>
      </c>
    </row>
    <row r="9" spans="1:15" x14ac:dyDescent="0.25">
      <c r="A9" s="4" t="s">
        <v>9</v>
      </c>
      <c r="B9" s="9">
        <v>331.46</v>
      </c>
      <c r="C9" s="11">
        <v>21.412500000000001</v>
      </c>
      <c r="E9" s="4" t="s">
        <v>9</v>
      </c>
      <c r="F9" s="9">
        <v>324.47000000000003</v>
      </c>
      <c r="G9" s="11">
        <v>21.084599999999998</v>
      </c>
    </row>
    <row r="10" spans="1:15" x14ac:dyDescent="0.25">
      <c r="A10" s="4" t="s">
        <v>10</v>
      </c>
      <c r="B10" s="9">
        <v>319.77999999999997</v>
      </c>
      <c r="C10" s="11">
        <v>21.185100000000002</v>
      </c>
      <c r="E10" s="4" t="s">
        <v>10</v>
      </c>
      <c r="F10" s="9">
        <v>330.8</v>
      </c>
      <c r="G10" s="11">
        <v>21.579599999999999</v>
      </c>
    </row>
    <row r="11" spans="1:15" x14ac:dyDescent="0.25">
      <c r="A11" s="4" t="s">
        <v>11</v>
      </c>
      <c r="B11" s="9">
        <v>323.56</v>
      </c>
      <c r="C11" s="11">
        <v>21.424600000000002</v>
      </c>
      <c r="E11" s="4" t="s">
        <v>11</v>
      </c>
      <c r="F11" s="9">
        <v>328.21</v>
      </c>
      <c r="G11" s="11">
        <v>21.426200000000001</v>
      </c>
    </row>
    <row r="12" spans="1:15" ht="15.75" thickBot="1" x14ac:dyDescent="0.3">
      <c r="A12" s="4" t="s">
        <v>12</v>
      </c>
      <c r="B12" s="12">
        <v>308.57</v>
      </c>
      <c r="C12" s="13">
        <v>21.953099999999999</v>
      </c>
      <c r="E12" s="4" t="s">
        <v>12</v>
      </c>
      <c r="F12" s="12">
        <v>323.72000000000003</v>
      </c>
      <c r="G12" s="13">
        <v>21.477700000000002</v>
      </c>
    </row>
    <row r="13" spans="1:15" s="19" customFormat="1" ht="18.75" x14ac:dyDescent="0.3">
      <c r="A13" s="21" t="s">
        <v>19</v>
      </c>
      <c r="B13" s="22">
        <v>328.22300000000007</v>
      </c>
      <c r="C13" s="22">
        <v>21.546479999999999</v>
      </c>
      <c r="E13" s="21" t="s">
        <v>19</v>
      </c>
      <c r="F13" s="22">
        <f>AVERAGE(F3:F12)</f>
        <v>327.67300000000006</v>
      </c>
      <c r="G13" s="22">
        <f>AVERAGE(G3:G12)</f>
        <v>21.294370000000001</v>
      </c>
    </row>
    <row r="14" spans="1:15" x14ac:dyDescent="0.25">
      <c r="A14" s="4" t="s">
        <v>14</v>
      </c>
      <c r="B14" s="15">
        <v>8.9466990188188085</v>
      </c>
      <c r="C14" s="15">
        <v>0.22041797567349058</v>
      </c>
      <c r="E14" s="4" t="s">
        <v>14</v>
      </c>
      <c r="F14" s="15">
        <f>STDEV(F3:F12)</f>
        <v>6.4622941402845084</v>
      </c>
      <c r="G14" s="15">
        <f>STDEV(G3:G12)</f>
        <v>0.22994552519141512</v>
      </c>
    </row>
    <row r="15" spans="1:15" x14ac:dyDescent="0.25">
      <c r="A15" s="1"/>
      <c r="B15" s="16"/>
      <c r="C15" s="18"/>
    </row>
    <row r="16" spans="1:15" ht="21.75" thickBot="1" x14ac:dyDescent="0.4">
      <c r="A16" s="20" t="s">
        <v>28</v>
      </c>
      <c r="C16" t="s">
        <v>25</v>
      </c>
      <c r="G16" t="s">
        <v>32</v>
      </c>
      <c r="K16" t="s">
        <v>33</v>
      </c>
      <c r="O16" t="s">
        <v>38</v>
      </c>
    </row>
    <row r="17" spans="1:19" ht="15.75" thickBot="1" x14ac:dyDescent="0.3">
      <c r="A17" s="1"/>
      <c r="B17" s="2" t="s">
        <v>1</v>
      </c>
      <c r="C17" s="2" t="s">
        <v>2</v>
      </c>
      <c r="E17" s="1"/>
      <c r="F17" s="2" t="s">
        <v>1</v>
      </c>
      <c r="G17" s="2" t="s">
        <v>2</v>
      </c>
      <c r="I17" s="1"/>
      <c r="J17" s="2" t="s">
        <v>1</v>
      </c>
      <c r="K17" s="2" t="s">
        <v>2</v>
      </c>
      <c r="N17" s="2" t="s">
        <v>1</v>
      </c>
      <c r="O17" s="2" t="s">
        <v>2</v>
      </c>
    </row>
    <row r="18" spans="1:19" x14ac:dyDescent="0.25">
      <c r="A18" s="4" t="s">
        <v>3</v>
      </c>
      <c r="B18" s="5">
        <v>355.83</v>
      </c>
      <c r="C18" s="8">
        <v>22.908799999999999</v>
      </c>
      <c r="E18" s="4" t="s">
        <v>3</v>
      </c>
      <c r="F18" s="5">
        <v>326.76</v>
      </c>
      <c r="G18" s="8">
        <v>21.235700000000001</v>
      </c>
      <c r="I18" s="4" t="s">
        <v>3</v>
      </c>
      <c r="J18" s="5">
        <v>349.12</v>
      </c>
      <c r="K18" s="8">
        <v>22.829899999999999</v>
      </c>
      <c r="N18" s="5">
        <v>315.89999999999998</v>
      </c>
      <c r="O18" s="8">
        <v>21.121700000000001</v>
      </c>
    </row>
    <row r="19" spans="1:19" x14ac:dyDescent="0.25">
      <c r="A19" s="4" t="s">
        <v>4</v>
      </c>
      <c r="B19" s="9">
        <v>342.98</v>
      </c>
      <c r="C19" s="11">
        <v>21.941300000000002</v>
      </c>
      <c r="E19" s="4" t="s">
        <v>4</v>
      </c>
      <c r="F19" s="9">
        <v>310.66000000000003</v>
      </c>
      <c r="G19" s="11">
        <v>20.298300000000001</v>
      </c>
      <c r="I19" s="4" t="s">
        <v>4</v>
      </c>
      <c r="J19" s="9">
        <v>328.06</v>
      </c>
      <c r="K19" s="11">
        <v>21.2118</v>
      </c>
      <c r="N19" s="9">
        <v>326.12</v>
      </c>
      <c r="O19" s="11">
        <v>21.735500000000002</v>
      </c>
    </row>
    <row r="20" spans="1:19" x14ac:dyDescent="0.25">
      <c r="A20" s="4" t="s">
        <v>5</v>
      </c>
      <c r="B20" s="9">
        <v>352.02</v>
      </c>
      <c r="C20" s="11">
        <v>22.867699999999999</v>
      </c>
      <c r="E20" s="4" t="s">
        <v>5</v>
      </c>
      <c r="F20" s="9">
        <v>319.29000000000002</v>
      </c>
      <c r="G20" s="11">
        <v>21.350300000000001</v>
      </c>
      <c r="I20" s="4" t="s">
        <v>5</v>
      </c>
      <c r="J20" s="9">
        <v>317.99</v>
      </c>
      <c r="K20" s="11">
        <v>20.976399999999998</v>
      </c>
      <c r="N20" s="9">
        <v>319.51</v>
      </c>
      <c r="O20" s="11">
        <v>21.387699999999999</v>
      </c>
    </row>
    <row r="21" spans="1:19" ht="18" x14ac:dyDescent="0.25">
      <c r="A21" s="21" t="s">
        <v>19</v>
      </c>
      <c r="B21" s="22">
        <f>AVERAGE(B18:B20)</f>
        <v>350.27666666666664</v>
      </c>
      <c r="C21" s="22">
        <f>AVERAGE(C18:C20)</f>
        <v>22.572599999999998</v>
      </c>
      <c r="E21" s="4" t="s">
        <v>13</v>
      </c>
      <c r="F21" s="22">
        <f>AVERAGE(F18:F20)</f>
        <v>318.90333333333336</v>
      </c>
      <c r="G21" s="22">
        <f>AVERAGE(G18:G20)</f>
        <v>20.961433333333336</v>
      </c>
      <c r="I21" s="4" t="s">
        <v>13</v>
      </c>
      <c r="J21" s="22">
        <f>AVERAGE(J18:J20)</f>
        <v>331.72333333333336</v>
      </c>
      <c r="K21" s="22">
        <f>AVERAGE(K18:K20)</f>
        <v>21.672700000000003</v>
      </c>
      <c r="M21" s="4" t="s">
        <v>13</v>
      </c>
      <c r="N21" s="22">
        <f>AVERAGE(N18:N20)</f>
        <v>320.51</v>
      </c>
      <c r="O21" s="22">
        <f>AVERAGE(O18:O20)</f>
        <v>21.414966666666668</v>
      </c>
    </row>
    <row r="22" spans="1:19" x14ac:dyDescent="0.25">
      <c r="A22" s="4" t="s">
        <v>14</v>
      </c>
      <c r="B22" s="15">
        <f>STDEV(B18:B20)</f>
        <v>6.6000025252520231</v>
      </c>
      <c r="C22" s="15">
        <f>STDEV(C18:C20)</f>
        <v>0.54710791440080486</v>
      </c>
      <c r="E22" s="4" t="s">
        <v>14</v>
      </c>
      <c r="F22" s="15">
        <f>STDEV(F18:F20)</f>
        <v>8.0569617929671882</v>
      </c>
      <c r="G22" s="15">
        <f>STDEV(G18:G20)</f>
        <v>0.57714179655725273</v>
      </c>
      <c r="I22" s="4" t="s">
        <v>14</v>
      </c>
      <c r="J22" s="15">
        <f>STDEV(J18:J20)</f>
        <v>15.885031738505695</v>
      </c>
      <c r="K22" s="15">
        <f>STDEV(K18:K20)</f>
        <v>1.0090526101249626</v>
      </c>
      <c r="M22" s="4" t="s">
        <v>14</v>
      </c>
      <c r="N22" s="15">
        <f>STDEV(N18:N20)</f>
        <v>5.1828660025125233</v>
      </c>
      <c r="O22" s="15">
        <f>STDEV(O18:O20)</f>
        <v>0.30780710409822215</v>
      </c>
    </row>
    <row r="23" spans="1:19" x14ac:dyDescent="0.25">
      <c r="A23" s="14"/>
      <c r="B23" s="14"/>
      <c r="C23" s="14"/>
    </row>
    <row r="24" spans="1:19" ht="21.75" thickBot="1" x14ac:dyDescent="0.4">
      <c r="A24" s="20" t="s">
        <v>29</v>
      </c>
      <c r="C24" t="s">
        <v>31</v>
      </c>
      <c r="G24" t="s">
        <v>34</v>
      </c>
      <c r="K24" t="s">
        <v>35</v>
      </c>
      <c r="O24" t="s">
        <v>36</v>
      </c>
      <c r="S24" t="s">
        <v>37</v>
      </c>
    </row>
    <row r="25" spans="1:19" ht="15.75" thickBot="1" x14ac:dyDescent="0.3">
      <c r="A25" s="1"/>
      <c r="B25" s="2" t="s">
        <v>1</v>
      </c>
      <c r="C25" s="2" t="s">
        <v>2</v>
      </c>
      <c r="E25" s="1"/>
      <c r="F25" s="2" t="s">
        <v>1</v>
      </c>
      <c r="G25" s="2" t="s">
        <v>2</v>
      </c>
      <c r="J25" s="2" t="s">
        <v>1</v>
      </c>
      <c r="K25" s="2" t="s">
        <v>2</v>
      </c>
      <c r="N25" s="2" t="s">
        <v>1</v>
      </c>
      <c r="O25" s="2" t="s">
        <v>2</v>
      </c>
      <c r="R25" s="2" t="s">
        <v>1</v>
      </c>
      <c r="S25" s="2" t="s">
        <v>2</v>
      </c>
    </row>
    <row r="26" spans="1:19" x14ac:dyDescent="0.25">
      <c r="A26" s="4" t="s">
        <v>3</v>
      </c>
      <c r="B26" s="5">
        <v>349.69</v>
      </c>
      <c r="C26" s="8">
        <v>21.9147</v>
      </c>
      <c r="E26" s="4" t="s">
        <v>3</v>
      </c>
      <c r="F26" s="5">
        <v>326.58</v>
      </c>
      <c r="G26" s="8">
        <v>21.306000000000001</v>
      </c>
      <c r="J26" s="5">
        <v>401.45</v>
      </c>
      <c r="K26" s="8">
        <v>23.218599999999999</v>
      </c>
      <c r="N26" s="5">
        <v>392.18</v>
      </c>
      <c r="O26" s="8">
        <v>23.006499999999999</v>
      </c>
      <c r="R26" s="5">
        <v>333.98</v>
      </c>
      <c r="S26" s="8">
        <v>21.675599999999999</v>
      </c>
    </row>
    <row r="27" spans="1:19" x14ac:dyDescent="0.25">
      <c r="A27" s="4" t="s">
        <v>4</v>
      </c>
      <c r="B27" s="9">
        <v>344.12</v>
      </c>
      <c r="C27" s="11">
        <v>21.568999999999999</v>
      </c>
      <c r="E27" s="4" t="s">
        <v>4</v>
      </c>
      <c r="F27" s="9">
        <v>351.49</v>
      </c>
      <c r="G27" s="11">
        <v>23.078699999999998</v>
      </c>
      <c r="J27" s="9">
        <v>348.23</v>
      </c>
      <c r="K27" s="11">
        <v>22.567499999999999</v>
      </c>
      <c r="N27" s="9">
        <v>344.31</v>
      </c>
      <c r="O27" s="11">
        <v>21.634799999999998</v>
      </c>
      <c r="R27" s="9">
        <v>329.32</v>
      </c>
      <c r="S27" s="11">
        <v>21.341800000000003</v>
      </c>
    </row>
    <row r="28" spans="1:19" x14ac:dyDescent="0.25">
      <c r="A28" s="4" t="s">
        <v>5</v>
      </c>
      <c r="B28" s="9">
        <v>405.43</v>
      </c>
      <c r="C28" s="11">
        <v>23.809899999999999</v>
      </c>
      <c r="E28" s="4" t="s">
        <v>5</v>
      </c>
      <c r="F28" s="9">
        <v>350.64</v>
      </c>
      <c r="G28" s="11">
        <v>23.241600000000002</v>
      </c>
      <c r="J28" s="9">
        <v>333.85</v>
      </c>
      <c r="K28" s="11">
        <v>21.972300000000001</v>
      </c>
      <c r="N28" s="9">
        <v>338.29</v>
      </c>
      <c r="O28" s="11">
        <v>21.6861</v>
      </c>
      <c r="R28" s="9">
        <v>323.63</v>
      </c>
      <c r="S28" s="11">
        <v>21.3398</v>
      </c>
    </row>
    <row r="29" spans="1:19" ht="18" x14ac:dyDescent="0.25">
      <c r="A29" s="21" t="s">
        <v>19</v>
      </c>
      <c r="B29" s="22">
        <f>AVERAGE(B26:B28)</f>
        <v>366.41333333333336</v>
      </c>
      <c r="C29" s="22">
        <f>AVERAGE(C26:C28)</f>
        <v>22.4312</v>
      </c>
      <c r="E29" s="4" t="s">
        <v>13</v>
      </c>
      <c r="F29" s="22">
        <f>AVERAGE(F26:F28)</f>
        <v>342.90333333333336</v>
      </c>
      <c r="G29" s="22">
        <f>AVERAGE(G26:G28)</f>
        <v>22.542100000000001</v>
      </c>
      <c r="I29" s="4" t="s">
        <v>13</v>
      </c>
      <c r="J29" s="22">
        <f>AVERAGE(J26:J28)</f>
        <v>361.17666666666673</v>
      </c>
      <c r="K29" s="22">
        <f>AVERAGE(K26:K28)</f>
        <v>22.586133333333333</v>
      </c>
      <c r="M29" s="4" t="s">
        <v>13</v>
      </c>
      <c r="N29" s="22">
        <f>AVERAGE(N26:N28)</f>
        <v>358.26</v>
      </c>
      <c r="O29" s="22">
        <f>AVERAGE(O26:O28)</f>
        <v>22.109133333333332</v>
      </c>
      <c r="Q29" s="4" t="s">
        <v>13</v>
      </c>
      <c r="R29" s="22">
        <f>AVERAGE(R26:R28)</f>
        <v>328.97666666666663</v>
      </c>
      <c r="S29" s="22">
        <f>AVERAGE(S26:S28)</f>
        <v>21.452400000000001</v>
      </c>
    </row>
    <row r="30" spans="1:19" x14ac:dyDescent="0.25">
      <c r="A30" s="4" t="s">
        <v>14</v>
      </c>
      <c r="B30" s="15">
        <f>STDEV(B26:B28)</f>
        <v>33.904003205128056</v>
      </c>
      <c r="C30" s="15">
        <f>STDEV(C26:C28)</f>
        <v>1.2064358209204498</v>
      </c>
      <c r="E30" s="4" t="s">
        <v>14</v>
      </c>
      <c r="F30" s="15">
        <f>STDEV(F26:F28)</f>
        <v>14.142808537675025</v>
      </c>
      <c r="G30" s="15">
        <f>STDEV(G26:G28)</f>
        <v>1.0735881472892661</v>
      </c>
      <c r="I30" s="4" t="s">
        <v>14</v>
      </c>
      <c r="J30" s="15">
        <f>STDEV(J26:J28)</f>
        <v>35.611123730280291</v>
      </c>
      <c r="K30" s="15">
        <f>STDEV(K26:K28)</f>
        <v>0.62335890411008976</v>
      </c>
      <c r="M30" s="4" t="s">
        <v>14</v>
      </c>
      <c r="N30" s="15">
        <f>STDEV(N26:N28)</f>
        <v>29.52939044409823</v>
      </c>
      <c r="O30" s="15">
        <f>STDEV(O26:O28)</f>
        <v>0.7775655106377426</v>
      </c>
      <c r="Q30" s="4" t="s">
        <v>14</v>
      </c>
      <c r="R30" s="15">
        <f>STDEV(R26:R28)</f>
        <v>5.183534829952765</v>
      </c>
      <c r="S30" s="15">
        <f>STDEV(S26:S28)</f>
        <v>0.19329945680213254</v>
      </c>
    </row>
    <row r="31" spans="1:19" x14ac:dyDescent="0.25">
      <c r="A31" s="14"/>
      <c r="B31" s="14"/>
      <c r="C31" s="14"/>
    </row>
    <row r="32" spans="1:19" ht="21.75" thickBot="1" x14ac:dyDescent="0.4">
      <c r="A32" s="20" t="s">
        <v>15</v>
      </c>
      <c r="C32" t="s">
        <v>27</v>
      </c>
      <c r="G32" t="s">
        <v>39</v>
      </c>
      <c r="K32" t="s">
        <v>40</v>
      </c>
    </row>
    <row r="33" spans="1:11" ht="15.75" thickBot="1" x14ac:dyDescent="0.3">
      <c r="A33" s="1"/>
      <c r="B33" s="2" t="s">
        <v>1</v>
      </c>
      <c r="C33" s="2" t="s">
        <v>2</v>
      </c>
      <c r="E33" s="1"/>
      <c r="F33" s="2" t="s">
        <v>1</v>
      </c>
      <c r="G33" s="2" t="s">
        <v>2</v>
      </c>
      <c r="J33" s="2" t="s">
        <v>1</v>
      </c>
      <c r="K33" s="2" t="s">
        <v>2</v>
      </c>
    </row>
    <row r="34" spans="1:11" x14ac:dyDescent="0.25">
      <c r="A34" s="4" t="s">
        <v>3</v>
      </c>
      <c r="B34" s="5">
        <v>413.2</v>
      </c>
      <c r="C34" s="8">
        <v>24.124699999999997</v>
      </c>
      <c r="E34" s="4" t="s">
        <v>3</v>
      </c>
      <c r="F34" s="5">
        <v>331.84</v>
      </c>
      <c r="G34" s="8">
        <v>21.1448</v>
      </c>
      <c r="J34" s="5">
        <v>309.10000000000002</v>
      </c>
      <c r="K34" s="8">
        <v>20.320300000000003</v>
      </c>
    </row>
    <row r="35" spans="1:11" x14ac:dyDescent="0.25">
      <c r="A35" s="4" t="s">
        <v>4</v>
      </c>
      <c r="B35" s="9">
        <v>400.61</v>
      </c>
      <c r="C35" s="11">
        <v>22.903500000000001</v>
      </c>
      <c r="E35" s="4" t="s">
        <v>4</v>
      </c>
      <c r="F35" s="9">
        <v>349.5</v>
      </c>
      <c r="G35" s="11">
        <v>22.343399999999999</v>
      </c>
      <c r="J35" s="9">
        <v>320.01</v>
      </c>
      <c r="K35" s="11">
        <v>21.0427</v>
      </c>
    </row>
    <row r="36" spans="1:11" x14ac:dyDescent="0.25">
      <c r="A36" s="4" t="s">
        <v>5</v>
      </c>
      <c r="B36" s="9">
        <v>353.16</v>
      </c>
      <c r="C36" s="11">
        <v>23.147000000000002</v>
      </c>
      <c r="E36" s="4" t="s">
        <v>5</v>
      </c>
      <c r="F36" s="9">
        <v>329.66</v>
      </c>
      <c r="G36" s="11">
        <v>21.669499999999999</v>
      </c>
      <c r="J36" s="9">
        <v>343.62</v>
      </c>
      <c r="K36" s="11">
        <v>22.487000000000002</v>
      </c>
    </row>
    <row r="37" spans="1:11" ht="18" x14ac:dyDescent="0.25">
      <c r="A37" s="21" t="s">
        <v>19</v>
      </c>
      <c r="B37" s="22">
        <f>AVERAGE(B34:B36)</f>
        <v>388.99</v>
      </c>
      <c r="C37" s="22">
        <f>AVERAGE(C34:C36)</f>
        <v>23.391733333333335</v>
      </c>
      <c r="E37" s="4" t="s">
        <v>13</v>
      </c>
      <c r="F37" s="22">
        <f>AVERAGE(F34:F36)</f>
        <v>337</v>
      </c>
      <c r="G37" s="22">
        <f>AVERAGE(G34:G36)</f>
        <v>21.719233333333335</v>
      </c>
      <c r="I37" s="4" t="s">
        <v>13</v>
      </c>
      <c r="J37" s="22">
        <f>AVERAGE(J34:J36)</f>
        <v>324.24333333333334</v>
      </c>
      <c r="K37" s="22">
        <f>AVERAGE(K34:K36)</f>
        <v>21.283333333333335</v>
      </c>
    </row>
    <row r="38" spans="1:11" x14ac:dyDescent="0.25">
      <c r="A38" s="4" t="s">
        <v>14</v>
      </c>
      <c r="B38" s="15">
        <f>STDEV(B34:B36)</f>
        <v>31.661786115126212</v>
      </c>
      <c r="C38" s="15">
        <f>STDEV(C34:C36)</f>
        <v>0.64633827314598213</v>
      </c>
      <c r="E38" s="4" t="s">
        <v>14</v>
      </c>
      <c r="F38" s="15">
        <f>STDEV(F34:F36)</f>
        <v>10.880055146919061</v>
      </c>
      <c r="G38" s="15">
        <f>STDEV(G34:G36)</f>
        <v>0.60084569011796418</v>
      </c>
      <c r="I38" s="4" t="s">
        <v>14</v>
      </c>
      <c r="J38" s="15">
        <f>STDEV(J34:J36)</f>
        <v>17.645068243940944</v>
      </c>
      <c r="K38" s="15">
        <f>STDEV(K34:K36)</f>
        <v>1.1032114590291984</v>
      </c>
    </row>
    <row r="39" spans="1:11" x14ac:dyDescent="0.25">
      <c r="A39" s="14"/>
      <c r="B39" s="14"/>
      <c r="C39" s="14"/>
    </row>
    <row r="40" spans="1:11" ht="21.75" thickBot="1" x14ac:dyDescent="0.4">
      <c r="A40" s="20" t="s">
        <v>16</v>
      </c>
      <c r="C40" t="s">
        <v>26</v>
      </c>
      <c r="G40" t="s">
        <v>41</v>
      </c>
    </row>
    <row r="41" spans="1:11" ht="15.75" thickBot="1" x14ac:dyDescent="0.3">
      <c r="A41" s="1"/>
      <c r="B41" s="2" t="s">
        <v>1</v>
      </c>
      <c r="C41" s="2" t="s">
        <v>2</v>
      </c>
      <c r="E41" s="1"/>
      <c r="F41" s="2" t="s">
        <v>1</v>
      </c>
      <c r="G41" s="2" t="s">
        <v>2</v>
      </c>
    </row>
    <row r="42" spans="1:11" x14ac:dyDescent="0.25">
      <c r="A42" s="4" t="s">
        <v>3</v>
      </c>
      <c r="B42" s="5">
        <v>363.04</v>
      </c>
      <c r="C42" s="8">
        <v>23.4724</v>
      </c>
      <c r="E42" s="4" t="s">
        <v>3</v>
      </c>
      <c r="F42" s="5">
        <v>331.23</v>
      </c>
      <c r="G42" s="8">
        <v>21.755399999999998</v>
      </c>
    </row>
    <row r="43" spans="1:11" x14ac:dyDescent="0.25">
      <c r="A43" s="4" t="s">
        <v>4</v>
      </c>
      <c r="B43" s="9">
        <v>355.61</v>
      </c>
      <c r="C43" s="11">
        <v>22.8401</v>
      </c>
      <c r="E43" s="4" t="s">
        <v>4</v>
      </c>
      <c r="F43" s="9">
        <v>318.60000000000002</v>
      </c>
      <c r="G43" s="11">
        <v>21.049700000000001</v>
      </c>
    </row>
    <row r="44" spans="1:11" x14ac:dyDescent="0.25">
      <c r="A44" s="4" t="s">
        <v>5</v>
      </c>
      <c r="B44" s="9">
        <v>352.28</v>
      </c>
      <c r="C44" s="11">
        <v>23.168199999999999</v>
      </c>
      <c r="E44" s="4" t="s">
        <v>5</v>
      </c>
      <c r="F44" s="9">
        <v>294.83999999999997</v>
      </c>
      <c r="G44" s="11">
        <v>20.331</v>
      </c>
    </row>
    <row r="45" spans="1:11" ht="18" x14ac:dyDescent="0.25">
      <c r="A45" s="21" t="s">
        <v>19</v>
      </c>
      <c r="B45" s="22">
        <f>AVERAGE(B42:B44)</f>
        <v>356.97666666666669</v>
      </c>
      <c r="C45" s="22">
        <f>AVERAGE(C42:C44)</f>
        <v>23.160233333333334</v>
      </c>
      <c r="E45" s="4" t="s">
        <v>13</v>
      </c>
      <c r="F45" s="22">
        <f>AVERAGE(F42:F44)</f>
        <v>314.89000000000004</v>
      </c>
      <c r="G45" s="22">
        <f>AVERAGE(G42:G44)</f>
        <v>21.045366666666666</v>
      </c>
    </row>
    <row r="46" spans="1:11" x14ac:dyDescent="0.25">
      <c r="A46" s="4" t="s">
        <v>14</v>
      </c>
      <c r="B46" s="15">
        <f>STDEV(B42:B44)</f>
        <v>5.5086507724971607</v>
      </c>
      <c r="C46" s="15">
        <f>STDEV(C42:C44)</f>
        <v>0.31622527307812315</v>
      </c>
      <c r="E46" s="4" t="s">
        <v>14</v>
      </c>
      <c r="F46" s="15">
        <f>STDEV(F42:F44)</f>
        <v>18.47650129218194</v>
      </c>
      <c r="G46" s="15">
        <f>STDEV(G42:G44)</f>
        <v>0.71220988713533895</v>
      </c>
    </row>
    <row r="47" spans="1:11" x14ac:dyDescent="0.25">
      <c r="A47" s="14"/>
      <c r="B47" s="14"/>
      <c r="C47" s="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tabSelected="1" zoomScale="55" zoomScaleNormal="55" workbookViewId="0">
      <selection activeCell="C44" sqref="C44"/>
    </sheetView>
  </sheetViews>
  <sheetFormatPr baseColWidth="10" defaultRowHeight="15" x14ac:dyDescent="0.25"/>
  <cols>
    <col min="1" max="3" width="21.140625" customWidth="1"/>
    <col min="4" max="4" width="17" customWidth="1"/>
    <col min="5" max="8" width="21.140625" customWidth="1"/>
  </cols>
  <sheetData>
    <row r="1" spans="1:7" ht="21.75" thickBot="1" x14ac:dyDescent="0.4">
      <c r="A1" s="20" t="s">
        <v>0</v>
      </c>
      <c r="C1" s="24" t="s">
        <v>21</v>
      </c>
      <c r="G1" s="24" t="s">
        <v>22</v>
      </c>
    </row>
    <row r="2" spans="1:7" ht="15.75" thickBot="1" x14ac:dyDescent="0.3">
      <c r="A2" s="1"/>
      <c r="B2" s="2" t="s">
        <v>1</v>
      </c>
      <c r="C2" s="3" t="s">
        <v>17</v>
      </c>
      <c r="D2" s="1"/>
      <c r="E2" s="1"/>
      <c r="F2" s="2" t="s">
        <v>1</v>
      </c>
      <c r="G2" s="3" t="s">
        <v>17</v>
      </c>
    </row>
    <row r="3" spans="1:7" x14ac:dyDescent="0.25">
      <c r="A3" s="4" t="s">
        <v>3</v>
      </c>
      <c r="B3" s="5">
        <v>143.57489403147159</v>
      </c>
      <c r="C3" s="6">
        <v>83.378189386692611</v>
      </c>
      <c r="D3" s="7"/>
      <c r="E3" s="4" t="s">
        <v>3</v>
      </c>
      <c r="F3" s="5">
        <v>135.5128775798444</v>
      </c>
      <c r="G3" s="6">
        <v>83.04087155931532</v>
      </c>
    </row>
    <row r="4" spans="1:7" x14ac:dyDescent="0.25">
      <c r="A4" s="4" t="s">
        <v>4</v>
      </c>
      <c r="B4" s="9">
        <v>135.19286168000002</v>
      </c>
      <c r="C4" s="10">
        <v>78.986184138529538</v>
      </c>
      <c r="D4" s="7"/>
      <c r="E4" s="4" t="s">
        <v>4</v>
      </c>
      <c r="F4" s="9">
        <v>136.07024199</v>
      </c>
      <c r="G4" s="10">
        <v>82.491111501201175</v>
      </c>
    </row>
    <row r="5" spans="1:7" x14ac:dyDescent="0.25">
      <c r="A5" s="4" t="s">
        <v>5</v>
      </c>
      <c r="B5" s="9">
        <v>139.35088141</v>
      </c>
      <c r="C5" s="10">
        <v>79.409753833300883</v>
      </c>
      <c r="D5" s="1"/>
      <c r="E5" s="4" t="s">
        <v>5</v>
      </c>
      <c r="F5" s="9">
        <v>132.25178548790609</v>
      </c>
      <c r="G5" s="10">
        <v>81.286301364636628</v>
      </c>
    </row>
    <row r="6" spans="1:7" x14ac:dyDescent="0.25">
      <c r="A6" s="4" t="s">
        <v>6</v>
      </c>
      <c r="B6" s="9">
        <v>143.61037156684722</v>
      </c>
      <c r="C6" s="10">
        <v>83.6116729984236</v>
      </c>
      <c r="D6" s="7"/>
      <c r="E6" s="4" t="s">
        <v>6</v>
      </c>
      <c r="F6" s="9">
        <v>134.16041145491494</v>
      </c>
      <c r="G6" s="10">
        <v>83.218210378107429</v>
      </c>
    </row>
    <row r="7" spans="1:7" x14ac:dyDescent="0.25">
      <c r="A7" s="4" t="s">
        <v>7</v>
      </c>
      <c r="B7" s="9">
        <v>142.89047749388536</v>
      </c>
      <c r="C7" s="10">
        <v>82.222821730332342</v>
      </c>
      <c r="D7" s="7"/>
      <c r="E7" s="4" t="s">
        <v>7</v>
      </c>
      <c r="F7" s="9">
        <v>130.8441071</v>
      </c>
      <c r="G7" s="10" t="s">
        <v>20</v>
      </c>
    </row>
    <row r="8" spans="1:7" s="19" customFormat="1" ht="18.75" x14ac:dyDescent="0.3">
      <c r="A8" s="21" t="s">
        <v>13</v>
      </c>
      <c r="B8" s="22">
        <f>AVERAGE(B3:B7)</f>
        <v>140.92389723644084</v>
      </c>
      <c r="C8" s="22">
        <f>AVERAGE(C3:C7)</f>
        <v>81.5217244174558</v>
      </c>
      <c r="D8" s="23"/>
      <c r="E8" s="21" t="s">
        <v>13</v>
      </c>
      <c r="F8" s="22">
        <f>AVERAGE(F3:F7)</f>
        <v>133.76788472253307</v>
      </c>
      <c r="G8" s="22">
        <f>AVERAGE(G3:G7)</f>
        <v>82.509123700815138</v>
      </c>
    </row>
    <row r="9" spans="1:7" x14ac:dyDescent="0.25">
      <c r="A9" s="1"/>
      <c r="B9" s="16"/>
      <c r="C9" s="17"/>
      <c r="D9" s="14"/>
      <c r="E9" s="1"/>
    </row>
    <row r="10" spans="1:7" ht="21.75" thickBot="1" x14ac:dyDescent="0.4">
      <c r="A10" s="20" t="s">
        <v>43</v>
      </c>
      <c r="C10" t="s">
        <v>44</v>
      </c>
      <c r="E10" s="20"/>
      <c r="G10" t="s">
        <v>42</v>
      </c>
    </row>
    <row r="11" spans="1:7" ht="15.75" thickBot="1" x14ac:dyDescent="0.3">
      <c r="A11" s="1"/>
      <c r="B11" s="2" t="s">
        <v>1</v>
      </c>
      <c r="C11" s="3" t="s">
        <v>17</v>
      </c>
      <c r="D11" s="1"/>
      <c r="E11" s="1"/>
      <c r="F11" s="2" t="s">
        <v>1</v>
      </c>
      <c r="G11" s="3" t="s">
        <v>17</v>
      </c>
    </row>
    <row r="12" spans="1:7" x14ac:dyDescent="0.25">
      <c r="A12" s="4" t="s">
        <v>3</v>
      </c>
      <c r="B12" s="5">
        <v>140.03752687000002</v>
      </c>
      <c r="C12" s="6">
        <v>82.682080685885879</v>
      </c>
      <c r="D12" s="7"/>
      <c r="E12" s="4" t="s">
        <v>3</v>
      </c>
      <c r="F12" s="5">
        <v>139.80864505</v>
      </c>
      <c r="G12" s="6" t="s">
        <v>20</v>
      </c>
    </row>
    <row r="13" spans="1:7" x14ac:dyDescent="0.25">
      <c r="A13" s="4" t="s">
        <v>4</v>
      </c>
      <c r="B13" s="9">
        <v>142.64803764529347</v>
      </c>
      <c r="C13" s="10">
        <v>86.318077725957949</v>
      </c>
      <c r="D13" s="7"/>
      <c r="E13" s="4" t="s">
        <v>4</v>
      </c>
      <c r="F13" s="9">
        <v>140.53258352107562</v>
      </c>
      <c r="G13" s="10">
        <v>82.897498196005188</v>
      </c>
    </row>
    <row r="14" spans="1:7" x14ac:dyDescent="0.25">
      <c r="A14" s="4" t="s">
        <v>5</v>
      </c>
      <c r="B14" s="9">
        <v>141.37267082</v>
      </c>
      <c r="C14" s="10">
        <v>83.411428321489467</v>
      </c>
      <c r="D14" s="1"/>
      <c r="E14" s="4" t="s">
        <v>5</v>
      </c>
      <c r="F14" s="9">
        <v>140.81083353962464</v>
      </c>
      <c r="G14" s="10">
        <v>76.113660821483478</v>
      </c>
    </row>
    <row r="15" spans="1:7" x14ac:dyDescent="0.25">
      <c r="A15" s="4" t="s">
        <v>6</v>
      </c>
      <c r="B15" s="9">
        <v>141.18696599634725</v>
      </c>
      <c r="C15" s="10">
        <v>84.238349104036033</v>
      </c>
      <c r="D15" s="7"/>
      <c r="E15" s="4" t="s">
        <v>6</v>
      </c>
      <c r="F15" s="9">
        <v>138.1551056392853</v>
      </c>
      <c r="G15" s="10">
        <v>80.082749880323519</v>
      </c>
    </row>
    <row r="16" spans="1:7" x14ac:dyDescent="0.25">
      <c r="A16" s="4" t="s">
        <v>7</v>
      </c>
      <c r="B16" s="9">
        <v>140.99120112</v>
      </c>
      <c r="C16" s="10">
        <v>83.118440195999995</v>
      </c>
      <c r="D16" s="7"/>
      <c r="E16" s="4" t="s">
        <v>7</v>
      </c>
      <c r="F16" s="9">
        <v>135.07842077000001</v>
      </c>
      <c r="G16" s="10">
        <v>78.529359303999996</v>
      </c>
    </row>
    <row r="17" spans="1:14" x14ac:dyDescent="0.25">
      <c r="A17" s="4" t="s">
        <v>8</v>
      </c>
      <c r="B17" s="9">
        <v>141.44896476</v>
      </c>
      <c r="C17" s="10">
        <v>83.380480118376354</v>
      </c>
      <c r="D17" s="7"/>
      <c r="E17" s="4" t="s">
        <v>8</v>
      </c>
      <c r="F17" s="9">
        <v>139.04570565</v>
      </c>
      <c r="G17" s="10">
        <v>80.910894740196198</v>
      </c>
    </row>
    <row r="18" spans="1:14" x14ac:dyDescent="0.25">
      <c r="A18" s="4" t="s">
        <v>9</v>
      </c>
      <c r="B18" s="9">
        <v>139.96123292999999</v>
      </c>
      <c r="C18" s="10">
        <v>80.664941530816819</v>
      </c>
      <c r="D18" s="7"/>
      <c r="E18" s="4" t="s">
        <v>9</v>
      </c>
      <c r="F18" s="9">
        <v>138.01573746</v>
      </c>
      <c r="G18" s="10">
        <v>79.893504130696698</v>
      </c>
    </row>
    <row r="19" spans="1:14" s="19" customFormat="1" ht="18.75" x14ac:dyDescent="0.3">
      <c r="A19" s="21" t="s">
        <v>13</v>
      </c>
      <c r="B19" s="22">
        <f>AVERAGE(B12:B18)</f>
        <v>141.09237144880581</v>
      </c>
      <c r="C19" s="22">
        <f>AVERAGE(C12:C18)</f>
        <v>83.401971097508934</v>
      </c>
      <c r="D19" s="23"/>
      <c r="E19" s="21" t="s">
        <v>13</v>
      </c>
      <c r="F19" s="22">
        <f>AVERAGE(F12:F18)</f>
        <v>138.77814737571219</v>
      </c>
      <c r="G19" s="22">
        <f>AVERAGE(G12:G18)</f>
        <v>79.737944512117508</v>
      </c>
    </row>
    <row r="20" spans="1:14" x14ac:dyDescent="0.25">
      <c r="A20" s="14"/>
      <c r="B20" s="14"/>
      <c r="C20" s="14"/>
      <c r="D20" s="14"/>
      <c r="E20" s="14"/>
    </row>
    <row r="21" spans="1:14" ht="21.75" thickBot="1" x14ac:dyDescent="0.4">
      <c r="A21" s="20" t="s">
        <v>29</v>
      </c>
      <c r="C21" t="s">
        <v>48</v>
      </c>
      <c r="E21" s="20"/>
      <c r="G21" t="s">
        <v>47</v>
      </c>
    </row>
    <row r="22" spans="1:14" ht="15.75" thickBot="1" x14ac:dyDescent="0.3">
      <c r="A22" s="1"/>
      <c r="B22" s="2" t="s">
        <v>1</v>
      </c>
      <c r="C22" s="3" t="s">
        <v>17</v>
      </c>
      <c r="D22" s="1"/>
      <c r="E22" s="1"/>
      <c r="F22" s="2" t="s">
        <v>1</v>
      </c>
      <c r="G22" s="3" t="s">
        <v>17</v>
      </c>
    </row>
    <row r="23" spans="1:14" x14ac:dyDescent="0.25">
      <c r="A23" s="4" t="s">
        <v>3</v>
      </c>
      <c r="B23" s="5">
        <v>137.29094503000002</v>
      </c>
      <c r="C23" s="6">
        <v>79.416276433999997</v>
      </c>
      <c r="D23" s="7"/>
      <c r="E23" s="4" t="s">
        <v>3</v>
      </c>
      <c r="F23" s="5">
        <v>134.02000000000001</v>
      </c>
      <c r="G23" s="6">
        <v>79.320999999999998</v>
      </c>
    </row>
    <row r="24" spans="1:14" x14ac:dyDescent="0.25">
      <c r="A24" s="4" t="s">
        <v>4</v>
      </c>
      <c r="B24" s="9">
        <v>138.81682383</v>
      </c>
      <c r="C24" s="10">
        <v>80.951851446918923</v>
      </c>
      <c r="D24" s="7"/>
      <c r="E24" s="4" t="s">
        <v>4</v>
      </c>
      <c r="F24" s="9">
        <v>136.83000000000001</v>
      </c>
      <c r="G24" s="10">
        <v>81.262</v>
      </c>
    </row>
    <row r="25" spans="1:14" x14ac:dyDescent="0.25">
      <c r="A25" s="4" t="s">
        <v>5</v>
      </c>
      <c r="B25" s="9">
        <v>137.06206321000002</v>
      </c>
      <c r="C25" s="10">
        <v>80.339172835313306</v>
      </c>
      <c r="D25" s="1"/>
      <c r="E25" s="4" t="s">
        <v>5</v>
      </c>
      <c r="F25" s="9">
        <v>134.19999999999999</v>
      </c>
      <c r="G25" s="10">
        <v>80.48</v>
      </c>
    </row>
    <row r="26" spans="1:14" x14ac:dyDescent="0.25">
      <c r="A26" s="4" t="s">
        <v>6</v>
      </c>
      <c r="B26" s="9">
        <v>135.34544956000002</v>
      </c>
      <c r="C26" s="10">
        <v>78.674007461469472</v>
      </c>
      <c r="D26" s="7"/>
      <c r="E26" s="4" t="s">
        <v>6</v>
      </c>
      <c r="F26" s="9">
        <v>134.09</v>
      </c>
      <c r="G26" s="10">
        <v>79.697999999999993</v>
      </c>
    </row>
    <row r="27" spans="1:14" x14ac:dyDescent="0.25">
      <c r="A27" s="4" t="s">
        <v>7</v>
      </c>
      <c r="B27" s="9">
        <v>143.73778296</v>
      </c>
      <c r="C27" s="10">
        <v>84.564136544980983</v>
      </c>
      <c r="D27" s="7"/>
      <c r="E27" s="4" t="s">
        <v>7</v>
      </c>
      <c r="F27" s="9">
        <v>134.85</v>
      </c>
      <c r="G27" s="10">
        <v>80.185000000000002</v>
      </c>
    </row>
    <row r="28" spans="1:14" x14ac:dyDescent="0.25">
      <c r="A28" s="4" t="s">
        <v>8</v>
      </c>
      <c r="B28" s="9">
        <v>140.16523538572756</v>
      </c>
      <c r="C28" s="10">
        <v>81.711088688900901</v>
      </c>
      <c r="D28" s="7"/>
      <c r="E28" s="4" t="s">
        <v>8</v>
      </c>
      <c r="F28" s="9">
        <v>136.30000000000001</v>
      </c>
      <c r="G28" s="10">
        <v>81.021000000000001</v>
      </c>
    </row>
    <row r="29" spans="1:14" x14ac:dyDescent="0.25">
      <c r="A29" s="4" t="s">
        <v>9</v>
      </c>
      <c r="B29" s="9">
        <v>144.72960418</v>
      </c>
      <c r="C29" s="10">
        <v>85.463045029729713</v>
      </c>
      <c r="D29" s="7"/>
      <c r="E29" s="4" t="s">
        <v>9</v>
      </c>
      <c r="F29" s="9">
        <v>133.06</v>
      </c>
      <c r="G29" s="10">
        <v>77.858999999999995</v>
      </c>
    </row>
    <row r="30" spans="1:14" s="19" customFormat="1" ht="18.75" x14ac:dyDescent="0.3">
      <c r="A30" s="21" t="s">
        <v>13</v>
      </c>
      <c r="B30" s="22">
        <f>AVERAGE(B23:B29)</f>
        <v>139.59255773653254</v>
      </c>
      <c r="C30" s="22">
        <f>AVERAGE(C23:C29)</f>
        <v>81.588511205901909</v>
      </c>
      <c r="D30" s="23"/>
      <c r="E30" s="21" t="s">
        <v>13</v>
      </c>
      <c r="F30" s="22">
        <f>AVERAGE(F23:F29)</f>
        <v>134.76428571428571</v>
      </c>
      <c r="G30" s="22">
        <f>AVERAGE(G23:G29)</f>
        <v>79.975142857142856</v>
      </c>
    </row>
    <row r="31" spans="1:14" x14ac:dyDescent="0.25">
      <c r="A31" s="14"/>
      <c r="B31" s="14"/>
      <c r="C31" s="14"/>
      <c r="D31" s="14"/>
      <c r="E31" s="14"/>
    </row>
    <row r="32" spans="1:14" ht="21.75" thickBot="1" x14ac:dyDescent="0.4">
      <c r="A32" s="20" t="s">
        <v>30</v>
      </c>
      <c r="C32" t="s">
        <v>46</v>
      </c>
      <c r="E32" s="20"/>
      <c r="G32" t="s">
        <v>45</v>
      </c>
      <c r="M32" s="25"/>
      <c r="N32" s="25"/>
    </row>
    <row r="33" spans="1:14" ht="15.75" thickBot="1" x14ac:dyDescent="0.3">
      <c r="A33" s="1"/>
      <c r="B33" s="2" t="s">
        <v>1</v>
      </c>
      <c r="C33" s="3" t="s">
        <v>17</v>
      </c>
      <c r="D33" s="1"/>
      <c r="E33" s="1"/>
      <c r="F33" s="2" t="s">
        <v>1</v>
      </c>
      <c r="G33" s="3" t="s">
        <v>17</v>
      </c>
      <c r="M33" s="25"/>
      <c r="N33" s="25"/>
    </row>
    <row r="34" spans="1:14" x14ac:dyDescent="0.25">
      <c r="A34" s="4" t="s">
        <v>3</v>
      </c>
      <c r="B34" s="5">
        <v>138.70026885095552</v>
      </c>
      <c r="C34" s="6">
        <v>80.79237147961561</v>
      </c>
      <c r="D34" s="7"/>
      <c r="E34" s="4" t="s">
        <v>3</v>
      </c>
      <c r="F34" s="5">
        <v>134.53</v>
      </c>
      <c r="G34" s="6">
        <v>78.087999999999994</v>
      </c>
      <c r="M34" s="25"/>
      <c r="N34" s="25"/>
    </row>
    <row r="35" spans="1:14" x14ac:dyDescent="0.25">
      <c r="A35" s="4" t="s">
        <v>4</v>
      </c>
      <c r="B35" s="9">
        <v>138.05388443000001</v>
      </c>
      <c r="C35" s="10">
        <v>81.137081402282277</v>
      </c>
      <c r="D35" s="7"/>
      <c r="E35" s="4" t="s">
        <v>4</v>
      </c>
      <c r="F35" s="9">
        <v>134.54</v>
      </c>
      <c r="G35" s="10">
        <v>80.59</v>
      </c>
      <c r="M35" s="25"/>
      <c r="N35" s="25"/>
    </row>
    <row r="36" spans="1:14" x14ac:dyDescent="0.25">
      <c r="A36" s="4" t="s">
        <v>5</v>
      </c>
      <c r="B36" s="9">
        <v>140.99120112</v>
      </c>
      <c r="C36" s="10">
        <v>83.180180390214204</v>
      </c>
      <c r="D36" s="1"/>
      <c r="E36" s="4" t="s">
        <v>5</v>
      </c>
      <c r="F36" s="9">
        <v>134.54</v>
      </c>
      <c r="G36" s="10">
        <v>78.66</v>
      </c>
      <c r="M36" s="25"/>
      <c r="N36" s="25"/>
    </row>
    <row r="37" spans="1:14" x14ac:dyDescent="0.25">
      <c r="A37" s="4" t="s">
        <v>6</v>
      </c>
      <c r="B37" s="9">
        <v>138.35218339069434</v>
      </c>
      <c r="C37" s="10">
        <v>80.393741336056038</v>
      </c>
      <c r="D37" s="7"/>
      <c r="E37" s="4" t="s">
        <v>6</v>
      </c>
      <c r="F37" s="9">
        <v>138.85</v>
      </c>
      <c r="G37" s="10">
        <v>82.58</v>
      </c>
      <c r="M37" s="25"/>
      <c r="N37" s="25"/>
    </row>
    <row r="38" spans="1:14" x14ac:dyDescent="0.25">
      <c r="A38" s="4" t="s">
        <v>7</v>
      </c>
      <c r="B38" s="9">
        <v>142.47893295</v>
      </c>
      <c r="C38" s="10">
        <v>84.279165740654634</v>
      </c>
      <c r="D38" s="7"/>
      <c r="E38" s="4" t="s">
        <v>7</v>
      </c>
      <c r="F38" s="9">
        <v>137.24</v>
      </c>
      <c r="G38" s="10">
        <v>81.356999999999999</v>
      </c>
      <c r="M38" s="25"/>
      <c r="N38" s="25"/>
    </row>
    <row r="39" spans="1:14" x14ac:dyDescent="0.25">
      <c r="A39" s="4" t="s">
        <v>8</v>
      </c>
      <c r="B39" s="9">
        <v>141.37267082</v>
      </c>
      <c r="C39" s="10">
        <v>83.117750780320321</v>
      </c>
      <c r="D39" s="7"/>
      <c r="E39" s="4" t="s">
        <v>8</v>
      </c>
      <c r="F39" s="9">
        <v>133.16999999999999</v>
      </c>
      <c r="G39" s="10">
        <v>78.197000000000003</v>
      </c>
    </row>
    <row r="40" spans="1:14" x14ac:dyDescent="0.25">
      <c r="A40" s="4" t="s">
        <v>9</v>
      </c>
      <c r="B40" s="9">
        <v>140.99120112</v>
      </c>
      <c r="C40" s="10">
        <v>82.329973083037032</v>
      </c>
      <c r="D40" s="7"/>
      <c r="E40" s="4" t="s">
        <v>9</v>
      </c>
      <c r="F40" s="9">
        <v>140.29</v>
      </c>
      <c r="G40" s="10">
        <v>82.614000000000004</v>
      </c>
    </row>
    <row r="41" spans="1:14" s="19" customFormat="1" ht="18.75" x14ac:dyDescent="0.3">
      <c r="A41" s="21" t="s">
        <v>13</v>
      </c>
      <c r="B41" s="22">
        <f>AVERAGE(B34:B40)</f>
        <v>140.13433466880713</v>
      </c>
      <c r="C41" s="22">
        <f>AVERAGE(C34:C40)</f>
        <v>82.175752030311443</v>
      </c>
      <c r="D41" s="23"/>
      <c r="E41" s="21" t="s">
        <v>13</v>
      </c>
      <c r="F41" s="22">
        <f>AVERAGE(F34:F40)</f>
        <v>136.16571428571427</v>
      </c>
      <c r="G41" s="22">
        <f>AVERAGE(G34:G40)</f>
        <v>80.298000000000002</v>
      </c>
    </row>
    <row r="42" spans="1:14" x14ac:dyDescent="0.25">
      <c r="A42" s="14"/>
      <c r="B42" s="14"/>
      <c r="C42" s="14"/>
      <c r="D42" s="14"/>
      <c r="E42" s="14"/>
    </row>
    <row r="43" spans="1:14" ht="21.75" thickBot="1" x14ac:dyDescent="0.4">
      <c r="A43" s="20" t="s">
        <v>18</v>
      </c>
      <c r="C43" t="s">
        <v>49</v>
      </c>
    </row>
    <row r="44" spans="1:14" ht="15.75" thickBot="1" x14ac:dyDescent="0.3">
      <c r="A44" s="1"/>
      <c r="B44" s="2" t="s">
        <v>1</v>
      </c>
      <c r="C44" s="3" t="s">
        <v>17</v>
      </c>
      <c r="D44" s="1"/>
      <c r="E44" s="1"/>
    </row>
    <row r="45" spans="1:14" x14ac:dyDescent="0.25">
      <c r="A45" s="4" t="s">
        <v>3</v>
      </c>
      <c r="B45" s="5">
        <v>141.44896476</v>
      </c>
      <c r="C45" s="6">
        <v>84.363022952236236</v>
      </c>
      <c r="D45" s="7"/>
      <c r="E45" s="4"/>
    </row>
    <row r="46" spans="1:14" x14ac:dyDescent="0.25">
      <c r="A46" s="4" t="s">
        <v>4</v>
      </c>
      <c r="B46" s="9">
        <v>135.84136017</v>
      </c>
      <c r="C46" s="10">
        <v>80.523299413165162</v>
      </c>
      <c r="D46" s="7"/>
      <c r="E46" s="4"/>
    </row>
    <row r="47" spans="1:14" x14ac:dyDescent="0.25">
      <c r="A47" s="4" t="s">
        <v>5</v>
      </c>
      <c r="B47" s="9">
        <v>139.65605717</v>
      </c>
      <c r="C47" s="10">
        <v>84.920884685999994</v>
      </c>
      <c r="D47" s="1"/>
      <c r="E47" s="4"/>
    </row>
    <row r="48" spans="1:14" x14ac:dyDescent="0.25">
      <c r="A48" s="4" t="s">
        <v>6</v>
      </c>
      <c r="B48" s="9">
        <v>138.01573746</v>
      </c>
      <c r="C48" s="10">
        <v>81.556321637999986</v>
      </c>
      <c r="D48" s="7"/>
      <c r="E48" s="4"/>
    </row>
    <row r="49" spans="1:5" x14ac:dyDescent="0.25">
      <c r="A49" s="4" t="s">
        <v>7</v>
      </c>
      <c r="B49" s="9">
        <v>138.43535413000001</v>
      </c>
      <c r="C49" s="10">
        <v>81.528367498450436</v>
      </c>
      <c r="D49" s="7"/>
      <c r="E49" s="4"/>
    </row>
    <row r="50" spans="1:5" x14ac:dyDescent="0.25">
      <c r="A50" s="4" t="s">
        <v>8</v>
      </c>
      <c r="B50" s="9">
        <v>135.99394805</v>
      </c>
      <c r="C50" s="10">
        <v>79.054734667039043</v>
      </c>
      <c r="D50" s="7"/>
      <c r="E50" s="4"/>
    </row>
    <row r="51" spans="1:5" x14ac:dyDescent="0.25">
      <c r="A51" s="4" t="s">
        <v>9</v>
      </c>
      <c r="B51" s="9">
        <v>136.82027480755758</v>
      </c>
      <c r="C51" s="10">
        <v>81.71526788092892</v>
      </c>
      <c r="D51" s="7"/>
      <c r="E51" s="4"/>
    </row>
    <row r="52" spans="1:5" s="19" customFormat="1" ht="18.75" x14ac:dyDescent="0.3">
      <c r="A52" s="21" t="s">
        <v>13</v>
      </c>
      <c r="B52" s="22">
        <f>AVERAGE(B45:B51)</f>
        <v>138.03024236393679</v>
      </c>
      <c r="C52" s="22">
        <f>AVERAGE(C45:C51)</f>
        <v>81.951699819402833</v>
      </c>
      <c r="D52" s="23"/>
      <c r="E52" s="21"/>
    </row>
    <row r="53" spans="1:5" x14ac:dyDescent="0.25">
      <c r="A53" s="14"/>
      <c r="B53" s="14"/>
      <c r="C53" s="14"/>
      <c r="D53" s="14"/>
      <c r="E53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PS</vt:lpstr>
      <vt:lpstr>TU</vt:lpstr>
    </vt:vector>
  </TitlesOfParts>
  <Company>IRSTEA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Aubriet</dc:creator>
  <cp:lastModifiedBy>Julien Aubriet</cp:lastModifiedBy>
  <dcterms:created xsi:type="dcterms:W3CDTF">2025-05-27T12:54:33Z</dcterms:created>
  <dcterms:modified xsi:type="dcterms:W3CDTF">2025-05-28T12:27:34Z</dcterms:modified>
</cp:coreProperties>
</file>